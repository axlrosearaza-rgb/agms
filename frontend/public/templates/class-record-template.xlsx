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A75E65C-E621-4E25-ABED-2F90001B37EE}" xr6:coauthVersionLast="47" xr6:coauthVersionMax="47" xr10:uidLastSave="{00000000-0000-0000-0000-000000000000}"/>
  <bookViews>
    <workbookView xWindow="-108" yWindow="-108" windowWidth="23256" windowHeight="12456" xr2:uid="{B71FB5CE-2DCC-41DF-9C1E-DD2501FC883F}"/>
  </bookViews>
  <sheets>
    <sheet name="IT1Z-SAK101" sheetId="2" r:id="rId1"/>
  </sheets>
  <definedNames>
    <definedName name="_xlnm.Print_Area" localSheetId="0">'IT1Z-SAK101'!$A$1:$BS$66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59" i="2" l="1"/>
  <c r="BM59" i="2" s="1"/>
  <c r="BJ59" i="2"/>
  <c r="BF59" i="2"/>
  <c r="BD59" i="2"/>
  <c r="BB59" i="2"/>
  <c r="BG59" i="2" s="1"/>
  <c r="BH59" i="2" s="1"/>
  <c r="AX59" i="2"/>
  <c r="AV59" i="2"/>
  <c r="AT59" i="2"/>
  <c r="AR59" i="2"/>
  <c r="AY59" i="2" s="1"/>
  <c r="AZ59" i="2" s="1"/>
  <c r="AN59" i="2"/>
  <c r="AL59" i="2"/>
  <c r="AO59" i="2" s="1"/>
  <c r="AP59" i="2" s="1"/>
  <c r="AJ59" i="2"/>
  <c r="AD59" i="2"/>
  <c r="AE59" i="2" s="1"/>
  <c r="AB59" i="2"/>
  <c r="X59" i="2"/>
  <c r="V59" i="2"/>
  <c r="T59" i="2"/>
  <c r="Y59" i="2" s="1"/>
  <c r="Z59" i="2" s="1"/>
  <c r="P59" i="2"/>
  <c r="N59" i="2"/>
  <c r="L59" i="2"/>
  <c r="J59" i="2"/>
  <c r="F59" i="2"/>
  <c r="D59" i="2"/>
  <c r="G59" i="2" s="1"/>
  <c r="H59" i="2" s="1"/>
  <c r="BL58" i="2"/>
  <c r="BM58" i="2" s="1"/>
  <c r="BJ58" i="2"/>
  <c r="BF58" i="2"/>
  <c r="BD58" i="2"/>
  <c r="BB58" i="2"/>
  <c r="AX58" i="2"/>
  <c r="AV58" i="2"/>
  <c r="AT58" i="2"/>
  <c r="AR58" i="2"/>
  <c r="AY58" i="2" s="1"/>
  <c r="AZ58" i="2" s="1"/>
  <c r="AN58" i="2"/>
  <c r="AL58" i="2"/>
  <c r="AO58" i="2" s="1"/>
  <c r="AP58" i="2" s="1"/>
  <c r="AJ58" i="2"/>
  <c r="AD58" i="2"/>
  <c r="AE58" i="2" s="1"/>
  <c r="AB58" i="2"/>
  <c r="X58" i="2"/>
  <c r="V58" i="2"/>
  <c r="T58" i="2"/>
  <c r="Y58" i="2" s="1"/>
  <c r="Z58" i="2" s="1"/>
  <c r="P58" i="2"/>
  <c r="N58" i="2"/>
  <c r="L58" i="2"/>
  <c r="J58" i="2"/>
  <c r="F58" i="2"/>
  <c r="D58" i="2"/>
  <c r="G58" i="2" s="1"/>
  <c r="H58" i="2" s="1"/>
  <c r="BL57" i="2"/>
  <c r="BM57" i="2" s="1"/>
  <c r="BJ57" i="2"/>
  <c r="BF57" i="2"/>
  <c r="BD57" i="2"/>
  <c r="BB57" i="2"/>
  <c r="BG57" i="2" s="1"/>
  <c r="BH57" i="2" s="1"/>
  <c r="AX57" i="2"/>
  <c r="AV57" i="2"/>
  <c r="AT57" i="2"/>
  <c r="AR57" i="2"/>
  <c r="AY57" i="2" s="1"/>
  <c r="AZ57" i="2" s="1"/>
  <c r="AN57" i="2"/>
  <c r="AL57" i="2"/>
  <c r="AJ57" i="2"/>
  <c r="AD57" i="2"/>
  <c r="AE57" i="2" s="1"/>
  <c r="AB57" i="2"/>
  <c r="X57" i="2"/>
  <c r="V57" i="2"/>
  <c r="T57" i="2"/>
  <c r="Y57" i="2" s="1"/>
  <c r="Z57" i="2" s="1"/>
  <c r="P57" i="2"/>
  <c r="Q57" i="2" s="1"/>
  <c r="R57" i="2" s="1"/>
  <c r="N57" i="2"/>
  <c r="L57" i="2"/>
  <c r="J57" i="2"/>
  <c r="F57" i="2"/>
  <c r="D57" i="2"/>
  <c r="G57" i="2" s="1"/>
  <c r="H57" i="2" s="1"/>
  <c r="BL56" i="2"/>
  <c r="BM56" i="2" s="1"/>
  <c r="BJ56" i="2"/>
  <c r="BF56" i="2"/>
  <c r="BD56" i="2"/>
  <c r="BB56" i="2"/>
  <c r="BG56" i="2" s="1"/>
  <c r="BH56" i="2" s="1"/>
  <c r="AX56" i="2"/>
  <c r="AV56" i="2"/>
  <c r="AT56" i="2"/>
  <c r="AR56" i="2"/>
  <c r="AN56" i="2"/>
  <c r="AL56" i="2"/>
  <c r="AO56" i="2" s="1"/>
  <c r="AP56" i="2" s="1"/>
  <c r="AJ56" i="2"/>
  <c r="AD56" i="2"/>
  <c r="AE56" i="2" s="1"/>
  <c r="AB56" i="2"/>
  <c r="X56" i="2"/>
  <c r="V56" i="2"/>
  <c r="T56" i="2"/>
  <c r="P56" i="2"/>
  <c r="N56" i="2"/>
  <c r="L56" i="2"/>
  <c r="J56" i="2"/>
  <c r="Q56" i="2" s="1"/>
  <c r="R56" i="2" s="1"/>
  <c r="F56" i="2"/>
  <c r="D56" i="2"/>
  <c r="G56" i="2" s="1"/>
  <c r="H56" i="2" s="1"/>
  <c r="BL55" i="2"/>
  <c r="BM55" i="2" s="1"/>
  <c r="BJ55" i="2"/>
  <c r="BF55" i="2"/>
  <c r="BD55" i="2"/>
  <c r="BG55" i="2" s="1"/>
  <c r="BH55" i="2" s="1"/>
  <c r="BB55" i="2"/>
  <c r="AX55" i="2"/>
  <c r="AV55" i="2"/>
  <c r="AT55" i="2"/>
  <c r="AR55" i="2"/>
  <c r="AN55" i="2"/>
  <c r="AO55" i="2" s="1"/>
  <c r="AP55" i="2" s="1"/>
  <c r="AL55" i="2"/>
  <c r="AJ55" i="2"/>
  <c r="AD55" i="2"/>
  <c r="AE55" i="2" s="1"/>
  <c r="AB55" i="2"/>
  <c r="X55" i="2"/>
  <c r="V55" i="2"/>
  <c r="T55" i="2"/>
  <c r="Y55" i="2" s="1"/>
  <c r="Z55" i="2" s="1"/>
  <c r="P55" i="2"/>
  <c r="N55" i="2"/>
  <c r="L55" i="2"/>
  <c r="J55" i="2"/>
  <c r="Q55" i="2" s="1"/>
  <c r="R55" i="2" s="1"/>
  <c r="F55" i="2"/>
  <c r="D55" i="2"/>
  <c r="BL54" i="2"/>
  <c r="BM54" i="2" s="1"/>
  <c r="BJ54" i="2"/>
  <c r="BF54" i="2"/>
  <c r="BD54" i="2"/>
  <c r="BB54" i="2"/>
  <c r="BG54" i="2" s="1"/>
  <c r="BH54" i="2" s="1"/>
  <c r="AX54" i="2"/>
  <c r="AV54" i="2"/>
  <c r="AT54" i="2"/>
  <c r="AR54" i="2"/>
  <c r="AY54" i="2" s="1"/>
  <c r="AZ54" i="2" s="1"/>
  <c r="AN54" i="2"/>
  <c r="AL54" i="2"/>
  <c r="AO54" i="2" s="1"/>
  <c r="AP54" i="2" s="1"/>
  <c r="AJ54" i="2"/>
  <c r="AD54" i="2"/>
  <c r="AE54" i="2" s="1"/>
  <c r="AB54" i="2"/>
  <c r="X54" i="2"/>
  <c r="V54" i="2"/>
  <c r="T54" i="2"/>
  <c r="Y54" i="2" s="1"/>
  <c r="Z54" i="2" s="1"/>
  <c r="P54" i="2"/>
  <c r="N54" i="2"/>
  <c r="L54" i="2"/>
  <c r="J54" i="2"/>
  <c r="F54" i="2"/>
  <c r="D54" i="2"/>
  <c r="G54" i="2" s="1"/>
  <c r="H54" i="2" s="1"/>
  <c r="BL53" i="2"/>
  <c r="BM53" i="2" s="1"/>
  <c r="BJ53" i="2"/>
  <c r="BF53" i="2"/>
  <c r="BD53" i="2"/>
  <c r="BB53" i="2"/>
  <c r="BG53" i="2" s="1"/>
  <c r="BH53" i="2" s="1"/>
  <c r="AX53" i="2"/>
  <c r="AV53" i="2"/>
  <c r="AT53" i="2"/>
  <c r="AR53" i="2"/>
  <c r="AN53" i="2"/>
  <c r="AL53" i="2"/>
  <c r="AO53" i="2" s="1"/>
  <c r="AP53" i="2" s="1"/>
  <c r="AJ53" i="2"/>
  <c r="AD53" i="2"/>
  <c r="AE53" i="2" s="1"/>
  <c r="AB53" i="2"/>
  <c r="X53" i="2"/>
  <c r="V53" i="2"/>
  <c r="T53" i="2"/>
  <c r="P53" i="2"/>
  <c r="N53" i="2"/>
  <c r="L53" i="2"/>
  <c r="J53" i="2"/>
  <c r="Q53" i="2" s="1"/>
  <c r="R53" i="2" s="1"/>
  <c r="F53" i="2"/>
  <c r="G53" i="2" s="1"/>
  <c r="H53" i="2" s="1"/>
  <c r="D53" i="2"/>
  <c r="BL52" i="2"/>
  <c r="BM52" i="2" s="1"/>
  <c r="BJ52" i="2"/>
  <c r="BF52" i="2"/>
  <c r="BD52" i="2"/>
  <c r="BB52" i="2"/>
  <c r="BG52" i="2" s="1"/>
  <c r="BH52" i="2" s="1"/>
  <c r="AX52" i="2"/>
  <c r="AV52" i="2"/>
  <c r="AT52" i="2"/>
  <c r="AR52" i="2"/>
  <c r="AY52" i="2" s="1"/>
  <c r="AZ52" i="2" s="1"/>
  <c r="AN52" i="2"/>
  <c r="AL52" i="2"/>
  <c r="AO52" i="2" s="1"/>
  <c r="AP52" i="2" s="1"/>
  <c r="AJ52" i="2"/>
  <c r="AD52" i="2"/>
  <c r="AE52" i="2" s="1"/>
  <c r="AB52" i="2"/>
  <c r="X52" i="2"/>
  <c r="V52" i="2"/>
  <c r="T52" i="2"/>
  <c r="Y52" i="2" s="1"/>
  <c r="Z52" i="2" s="1"/>
  <c r="P52" i="2"/>
  <c r="N52" i="2"/>
  <c r="L52" i="2"/>
  <c r="J52" i="2"/>
  <c r="Q52" i="2" s="1"/>
  <c r="R52" i="2" s="1"/>
  <c r="F52" i="2"/>
  <c r="D52" i="2"/>
  <c r="G52" i="2" s="1"/>
  <c r="H52" i="2" s="1"/>
  <c r="BL51" i="2"/>
  <c r="BM51" i="2" s="1"/>
  <c r="BJ51" i="2"/>
  <c r="BF51" i="2"/>
  <c r="BD51" i="2"/>
  <c r="BB51" i="2"/>
  <c r="BG51" i="2" s="1"/>
  <c r="BH51" i="2" s="1"/>
  <c r="AX51" i="2"/>
  <c r="AY51" i="2" s="1"/>
  <c r="AZ51" i="2" s="1"/>
  <c r="AV51" i="2"/>
  <c r="AT51" i="2"/>
  <c r="AR51" i="2"/>
  <c r="AN51" i="2"/>
  <c r="AL51" i="2"/>
  <c r="AO51" i="2" s="1"/>
  <c r="AP51" i="2" s="1"/>
  <c r="AJ51" i="2"/>
  <c r="AD51" i="2"/>
  <c r="AE51" i="2" s="1"/>
  <c r="AB51" i="2"/>
  <c r="X51" i="2"/>
  <c r="V51" i="2"/>
  <c r="T51" i="2"/>
  <c r="Y51" i="2" s="1"/>
  <c r="Z51" i="2" s="1"/>
  <c r="P51" i="2"/>
  <c r="N51" i="2"/>
  <c r="L51" i="2"/>
  <c r="J51" i="2"/>
  <c r="F51" i="2"/>
  <c r="D51" i="2"/>
  <c r="G51" i="2" s="1"/>
  <c r="H51" i="2" s="1"/>
  <c r="BL50" i="2"/>
  <c r="BM50" i="2" s="1"/>
  <c r="BJ50" i="2"/>
  <c r="BF50" i="2"/>
  <c r="BD50" i="2"/>
  <c r="BB50" i="2"/>
  <c r="AX50" i="2"/>
  <c r="AV50" i="2"/>
  <c r="AT50" i="2"/>
  <c r="AR50" i="2"/>
  <c r="AY50" i="2" s="1"/>
  <c r="AZ50" i="2" s="1"/>
  <c r="AN50" i="2"/>
  <c r="AL50" i="2"/>
  <c r="AO50" i="2" s="1"/>
  <c r="AP50" i="2" s="1"/>
  <c r="AJ50" i="2"/>
  <c r="AD50" i="2"/>
  <c r="AE50" i="2" s="1"/>
  <c r="AB50" i="2"/>
  <c r="X50" i="2"/>
  <c r="V50" i="2"/>
  <c r="T50" i="2"/>
  <c r="Y50" i="2" s="1"/>
  <c r="Z50" i="2" s="1"/>
  <c r="P50" i="2"/>
  <c r="N50" i="2"/>
  <c r="L50" i="2"/>
  <c r="J50" i="2"/>
  <c r="Q50" i="2" s="1"/>
  <c r="R50" i="2" s="1"/>
  <c r="F50" i="2"/>
  <c r="D50" i="2"/>
  <c r="G50" i="2" s="1"/>
  <c r="H50" i="2" s="1"/>
  <c r="AF50" i="2" s="1"/>
  <c r="BL49" i="2"/>
  <c r="BM49" i="2" s="1"/>
  <c r="BJ49" i="2"/>
  <c r="BF49" i="2"/>
  <c r="BD49" i="2"/>
  <c r="BB49" i="2"/>
  <c r="BG49" i="2" s="1"/>
  <c r="BH49" i="2" s="1"/>
  <c r="AX49" i="2"/>
  <c r="AV49" i="2"/>
  <c r="AT49" i="2"/>
  <c r="AR49" i="2"/>
  <c r="AY49" i="2" s="1"/>
  <c r="AZ49" i="2" s="1"/>
  <c r="AN49" i="2"/>
  <c r="AL49" i="2"/>
  <c r="AJ49" i="2"/>
  <c r="AD49" i="2"/>
  <c r="AE49" i="2" s="1"/>
  <c r="AB49" i="2"/>
  <c r="X49" i="2"/>
  <c r="V49" i="2"/>
  <c r="T49" i="2"/>
  <c r="Y49" i="2" s="1"/>
  <c r="Z49" i="2" s="1"/>
  <c r="P49" i="2"/>
  <c r="N49" i="2"/>
  <c r="L49" i="2"/>
  <c r="J49" i="2"/>
  <c r="F49" i="2"/>
  <c r="D49" i="2"/>
  <c r="G49" i="2" s="1"/>
  <c r="H49" i="2" s="1"/>
  <c r="BL48" i="2"/>
  <c r="BM48" i="2" s="1"/>
  <c r="BJ48" i="2"/>
  <c r="BF48" i="2"/>
  <c r="BD48" i="2"/>
  <c r="BB48" i="2"/>
  <c r="BG48" i="2" s="1"/>
  <c r="BH48" i="2" s="1"/>
  <c r="AX48" i="2"/>
  <c r="AV48" i="2"/>
  <c r="AT48" i="2"/>
  <c r="AR48" i="2"/>
  <c r="AN48" i="2"/>
  <c r="AL48" i="2"/>
  <c r="AO48" i="2" s="1"/>
  <c r="AP48" i="2" s="1"/>
  <c r="AJ48" i="2"/>
  <c r="AD48" i="2"/>
  <c r="AE48" i="2" s="1"/>
  <c r="AB48" i="2"/>
  <c r="X48" i="2"/>
  <c r="V48" i="2"/>
  <c r="T48" i="2"/>
  <c r="P48" i="2"/>
  <c r="N48" i="2"/>
  <c r="L48" i="2"/>
  <c r="J48" i="2"/>
  <c r="Q48" i="2" s="1"/>
  <c r="R48" i="2" s="1"/>
  <c r="F48" i="2"/>
  <c r="D48" i="2"/>
  <c r="G48" i="2" s="1"/>
  <c r="H48" i="2" s="1"/>
  <c r="BL47" i="2"/>
  <c r="BM47" i="2" s="1"/>
  <c r="BJ47" i="2"/>
  <c r="BF47" i="2"/>
  <c r="BD47" i="2"/>
  <c r="BG47" i="2" s="1"/>
  <c r="BH47" i="2" s="1"/>
  <c r="BB47" i="2"/>
  <c r="AX47" i="2"/>
  <c r="AV47" i="2"/>
  <c r="AT47" i="2"/>
  <c r="AR47" i="2"/>
  <c r="AY47" i="2" s="1"/>
  <c r="AZ47" i="2" s="1"/>
  <c r="AN47" i="2"/>
  <c r="AO47" i="2" s="1"/>
  <c r="AP47" i="2" s="1"/>
  <c r="AL47" i="2"/>
  <c r="AJ47" i="2"/>
  <c r="AD47" i="2"/>
  <c r="AE47" i="2" s="1"/>
  <c r="AB47" i="2"/>
  <c r="X47" i="2"/>
  <c r="V47" i="2"/>
  <c r="T47" i="2"/>
  <c r="Y47" i="2" s="1"/>
  <c r="Z47" i="2" s="1"/>
  <c r="P47" i="2"/>
  <c r="N47" i="2"/>
  <c r="L47" i="2"/>
  <c r="J47" i="2"/>
  <c r="Q47" i="2" s="1"/>
  <c r="R47" i="2" s="1"/>
  <c r="F47" i="2"/>
  <c r="G47" i="2" s="1"/>
  <c r="H47" i="2" s="1"/>
  <c r="D47" i="2"/>
  <c r="BL46" i="2"/>
  <c r="BM46" i="2" s="1"/>
  <c r="BJ46" i="2"/>
  <c r="BF46" i="2"/>
  <c r="BD46" i="2"/>
  <c r="BB46" i="2"/>
  <c r="BG46" i="2" s="1"/>
  <c r="BH46" i="2" s="1"/>
  <c r="AX46" i="2"/>
  <c r="AV46" i="2"/>
  <c r="AT46" i="2"/>
  <c r="AR46" i="2"/>
  <c r="AY46" i="2" s="1"/>
  <c r="AZ46" i="2" s="1"/>
  <c r="AN46" i="2"/>
  <c r="AL46" i="2"/>
  <c r="AO46" i="2" s="1"/>
  <c r="AP46" i="2" s="1"/>
  <c r="AJ46" i="2"/>
  <c r="AD46" i="2"/>
  <c r="AE46" i="2" s="1"/>
  <c r="AB46" i="2"/>
  <c r="X46" i="2"/>
  <c r="V46" i="2"/>
  <c r="T46" i="2"/>
  <c r="Y46" i="2" s="1"/>
  <c r="Z46" i="2" s="1"/>
  <c r="P46" i="2"/>
  <c r="N46" i="2"/>
  <c r="Q46" i="2" s="1"/>
  <c r="R46" i="2" s="1"/>
  <c r="L46" i="2"/>
  <c r="J46" i="2"/>
  <c r="F46" i="2"/>
  <c r="D46" i="2"/>
  <c r="G46" i="2" s="1"/>
  <c r="H46" i="2" s="1"/>
  <c r="BL45" i="2"/>
  <c r="BM45" i="2" s="1"/>
  <c r="BJ45" i="2"/>
  <c r="BF45" i="2"/>
  <c r="BD45" i="2"/>
  <c r="BB45" i="2"/>
  <c r="BG45" i="2" s="1"/>
  <c r="BH45" i="2" s="1"/>
  <c r="AX45" i="2"/>
  <c r="AV45" i="2"/>
  <c r="AT45" i="2"/>
  <c r="AR45" i="2"/>
  <c r="AN45" i="2"/>
  <c r="AL45" i="2"/>
  <c r="AO45" i="2" s="1"/>
  <c r="AP45" i="2" s="1"/>
  <c r="AJ45" i="2"/>
  <c r="AD45" i="2"/>
  <c r="AE45" i="2" s="1"/>
  <c r="AB45" i="2"/>
  <c r="X45" i="2"/>
  <c r="V45" i="2"/>
  <c r="T45" i="2"/>
  <c r="P45" i="2"/>
  <c r="N45" i="2"/>
  <c r="L45" i="2"/>
  <c r="J45" i="2"/>
  <c r="Q45" i="2" s="1"/>
  <c r="R45" i="2" s="1"/>
  <c r="F45" i="2"/>
  <c r="D45" i="2"/>
  <c r="BL44" i="2"/>
  <c r="BM44" i="2" s="1"/>
  <c r="BJ44" i="2"/>
  <c r="BF44" i="2"/>
  <c r="BD44" i="2"/>
  <c r="BB44" i="2"/>
  <c r="BG44" i="2" s="1"/>
  <c r="BH44" i="2" s="1"/>
  <c r="AX44" i="2"/>
  <c r="AV44" i="2"/>
  <c r="AT44" i="2"/>
  <c r="AR44" i="2"/>
  <c r="AY44" i="2" s="1"/>
  <c r="AZ44" i="2" s="1"/>
  <c r="AN44" i="2"/>
  <c r="AL44" i="2"/>
  <c r="AO44" i="2" s="1"/>
  <c r="AP44" i="2" s="1"/>
  <c r="AJ44" i="2"/>
  <c r="AD44" i="2"/>
  <c r="AE44" i="2" s="1"/>
  <c r="AB44" i="2"/>
  <c r="X44" i="2"/>
  <c r="V44" i="2"/>
  <c r="T44" i="2"/>
  <c r="Y44" i="2" s="1"/>
  <c r="Z44" i="2" s="1"/>
  <c r="P44" i="2"/>
  <c r="N44" i="2"/>
  <c r="L44" i="2"/>
  <c r="J44" i="2"/>
  <c r="Q44" i="2" s="1"/>
  <c r="R44" i="2" s="1"/>
  <c r="F44" i="2"/>
  <c r="D44" i="2"/>
  <c r="G44" i="2" s="1"/>
  <c r="H44" i="2" s="1"/>
  <c r="BL43" i="2"/>
  <c r="BM43" i="2" s="1"/>
  <c r="BJ43" i="2"/>
  <c r="BF43" i="2"/>
  <c r="BD43" i="2"/>
  <c r="BB43" i="2"/>
  <c r="BG43" i="2" s="1"/>
  <c r="BH43" i="2" s="1"/>
  <c r="AX43" i="2"/>
  <c r="AV43" i="2"/>
  <c r="AT43" i="2"/>
  <c r="AR43" i="2"/>
  <c r="AN43" i="2"/>
  <c r="AL43" i="2"/>
  <c r="AO43" i="2" s="1"/>
  <c r="AP43" i="2" s="1"/>
  <c r="AJ43" i="2"/>
  <c r="AD43" i="2"/>
  <c r="AE43" i="2" s="1"/>
  <c r="AB43" i="2"/>
  <c r="X43" i="2"/>
  <c r="V43" i="2"/>
  <c r="T43" i="2"/>
  <c r="Y43" i="2" s="1"/>
  <c r="Z43" i="2" s="1"/>
  <c r="P43" i="2"/>
  <c r="N43" i="2"/>
  <c r="L43" i="2"/>
  <c r="J43" i="2"/>
  <c r="F43" i="2"/>
  <c r="D43" i="2"/>
  <c r="G43" i="2" s="1"/>
  <c r="H43" i="2" s="1"/>
  <c r="BL42" i="2"/>
  <c r="BM42" i="2" s="1"/>
  <c r="BJ42" i="2"/>
  <c r="BF42" i="2"/>
  <c r="BD42" i="2"/>
  <c r="BB42" i="2"/>
  <c r="AX42" i="2"/>
  <c r="AV42" i="2"/>
  <c r="AT42" i="2"/>
  <c r="AR42" i="2"/>
  <c r="AY42" i="2" s="1"/>
  <c r="AZ42" i="2" s="1"/>
  <c r="AN42" i="2"/>
  <c r="AL42" i="2"/>
  <c r="AO42" i="2" s="1"/>
  <c r="AP42" i="2" s="1"/>
  <c r="AJ42" i="2"/>
  <c r="AD42" i="2"/>
  <c r="AE42" i="2" s="1"/>
  <c r="AB42" i="2"/>
  <c r="X42" i="2"/>
  <c r="V42" i="2"/>
  <c r="T42" i="2"/>
  <c r="Y42" i="2" s="1"/>
  <c r="Z42" i="2" s="1"/>
  <c r="P42" i="2"/>
  <c r="N42" i="2"/>
  <c r="L42" i="2"/>
  <c r="J42" i="2"/>
  <c r="F42" i="2"/>
  <c r="D42" i="2"/>
  <c r="G42" i="2" s="1"/>
  <c r="H42" i="2" s="1"/>
  <c r="BL41" i="2"/>
  <c r="BM41" i="2" s="1"/>
  <c r="BJ41" i="2"/>
  <c r="BF41" i="2"/>
  <c r="BD41" i="2"/>
  <c r="BB41" i="2"/>
  <c r="BG41" i="2" s="1"/>
  <c r="BH41" i="2" s="1"/>
  <c r="AX41" i="2"/>
  <c r="AV41" i="2"/>
  <c r="AT41" i="2"/>
  <c r="AR41" i="2"/>
  <c r="AN41" i="2"/>
  <c r="AL41" i="2"/>
  <c r="AJ41" i="2"/>
  <c r="AD41" i="2"/>
  <c r="AE41" i="2" s="1"/>
  <c r="AB41" i="2"/>
  <c r="X41" i="2"/>
  <c r="V41" i="2"/>
  <c r="T41" i="2"/>
  <c r="Y41" i="2" s="1"/>
  <c r="Z41" i="2" s="1"/>
  <c r="P41" i="2"/>
  <c r="N41" i="2"/>
  <c r="L41" i="2"/>
  <c r="J41" i="2"/>
  <c r="F41" i="2"/>
  <c r="D41" i="2"/>
  <c r="G41" i="2" s="1"/>
  <c r="H41" i="2" s="1"/>
  <c r="BL40" i="2"/>
  <c r="BM40" i="2" s="1"/>
  <c r="BJ40" i="2"/>
  <c r="BF40" i="2"/>
  <c r="BD40" i="2"/>
  <c r="BB40" i="2"/>
  <c r="BG40" i="2" s="1"/>
  <c r="BH40" i="2" s="1"/>
  <c r="AX40" i="2"/>
  <c r="AV40" i="2"/>
  <c r="AT40" i="2"/>
  <c r="AR40" i="2"/>
  <c r="AN40" i="2"/>
  <c r="AL40" i="2"/>
  <c r="AO40" i="2" s="1"/>
  <c r="AP40" i="2" s="1"/>
  <c r="AJ40" i="2"/>
  <c r="AD40" i="2"/>
  <c r="AE40" i="2" s="1"/>
  <c r="AB40" i="2"/>
  <c r="X40" i="2"/>
  <c r="V40" i="2"/>
  <c r="T40" i="2"/>
  <c r="P40" i="2"/>
  <c r="N40" i="2"/>
  <c r="L40" i="2"/>
  <c r="J40" i="2"/>
  <c r="Q40" i="2" s="1"/>
  <c r="R40" i="2" s="1"/>
  <c r="F40" i="2"/>
  <c r="D40" i="2"/>
  <c r="G40" i="2" s="1"/>
  <c r="H40" i="2" s="1"/>
  <c r="BL39" i="2"/>
  <c r="BM39" i="2" s="1"/>
  <c r="BJ39" i="2"/>
  <c r="BF39" i="2"/>
  <c r="BD39" i="2"/>
  <c r="BB39" i="2"/>
  <c r="BG39" i="2" s="1"/>
  <c r="BH39" i="2" s="1"/>
  <c r="AX39" i="2"/>
  <c r="AV39" i="2"/>
  <c r="AT39" i="2"/>
  <c r="AR39" i="2"/>
  <c r="AY39" i="2" s="1"/>
  <c r="AZ39" i="2" s="1"/>
  <c r="AN39" i="2"/>
  <c r="AL39" i="2"/>
  <c r="AO39" i="2" s="1"/>
  <c r="AP39" i="2" s="1"/>
  <c r="BN39" i="2" s="1"/>
  <c r="BO39" i="2" s="1"/>
  <c r="AJ39" i="2"/>
  <c r="AD39" i="2"/>
  <c r="AE39" i="2" s="1"/>
  <c r="AB39" i="2"/>
  <c r="X39" i="2"/>
  <c r="V39" i="2"/>
  <c r="T39" i="2"/>
  <c r="Y39" i="2" s="1"/>
  <c r="Z39" i="2" s="1"/>
  <c r="P39" i="2"/>
  <c r="N39" i="2"/>
  <c r="L39" i="2"/>
  <c r="J39" i="2"/>
  <c r="Q39" i="2" s="1"/>
  <c r="R39" i="2" s="1"/>
  <c r="F39" i="2"/>
  <c r="D39" i="2"/>
  <c r="G39" i="2" s="1"/>
  <c r="H39" i="2" s="1"/>
  <c r="BL38" i="2"/>
  <c r="BM38" i="2" s="1"/>
  <c r="BJ38" i="2"/>
  <c r="BF38" i="2"/>
  <c r="BD38" i="2"/>
  <c r="BB38" i="2"/>
  <c r="BG38" i="2" s="1"/>
  <c r="BH38" i="2" s="1"/>
  <c r="AX38" i="2"/>
  <c r="AV38" i="2"/>
  <c r="AT38" i="2"/>
  <c r="AR38" i="2"/>
  <c r="AN38" i="2"/>
  <c r="AL38" i="2"/>
  <c r="AO38" i="2" s="1"/>
  <c r="AP38" i="2" s="1"/>
  <c r="AJ38" i="2"/>
  <c r="AD38" i="2"/>
  <c r="AE38" i="2" s="1"/>
  <c r="AB38" i="2"/>
  <c r="X38" i="2"/>
  <c r="V38" i="2"/>
  <c r="T38" i="2"/>
  <c r="Y38" i="2" s="1"/>
  <c r="Z38" i="2" s="1"/>
  <c r="P38" i="2"/>
  <c r="N38" i="2"/>
  <c r="L38" i="2"/>
  <c r="J38" i="2"/>
  <c r="F38" i="2"/>
  <c r="D38" i="2"/>
  <c r="G38" i="2" s="1"/>
  <c r="H38" i="2" s="1"/>
  <c r="BL37" i="2"/>
  <c r="BM37" i="2" s="1"/>
  <c r="BJ37" i="2"/>
  <c r="BF37" i="2"/>
  <c r="BD37" i="2"/>
  <c r="BB37" i="2"/>
  <c r="BG37" i="2" s="1"/>
  <c r="BH37" i="2" s="1"/>
  <c r="AX37" i="2"/>
  <c r="AV37" i="2"/>
  <c r="AT37" i="2"/>
  <c r="AY37" i="2" s="1"/>
  <c r="AZ37" i="2" s="1"/>
  <c r="AR37" i="2"/>
  <c r="AN37" i="2"/>
  <c r="AL37" i="2"/>
  <c r="AO37" i="2" s="1"/>
  <c r="AP37" i="2" s="1"/>
  <c r="AJ37" i="2"/>
  <c r="AD37" i="2"/>
  <c r="AE37" i="2" s="1"/>
  <c r="AB37" i="2"/>
  <c r="X37" i="2"/>
  <c r="V37" i="2"/>
  <c r="T37" i="2"/>
  <c r="Y37" i="2" s="1"/>
  <c r="Z37" i="2" s="1"/>
  <c r="P37" i="2"/>
  <c r="N37" i="2"/>
  <c r="L37" i="2"/>
  <c r="J37" i="2"/>
  <c r="Q37" i="2" s="1"/>
  <c r="R37" i="2" s="1"/>
  <c r="F37" i="2"/>
  <c r="D37" i="2"/>
  <c r="G37" i="2" s="1"/>
  <c r="H37" i="2" s="1"/>
  <c r="BL36" i="2"/>
  <c r="BM36" i="2" s="1"/>
  <c r="BJ36" i="2"/>
  <c r="BF36" i="2"/>
  <c r="BD36" i="2"/>
  <c r="BB36" i="2"/>
  <c r="BG36" i="2" s="1"/>
  <c r="BH36" i="2" s="1"/>
  <c r="AX36" i="2"/>
  <c r="AV36" i="2"/>
  <c r="AT36" i="2"/>
  <c r="AR36" i="2"/>
  <c r="AY36" i="2" s="1"/>
  <c r="AZ36" i="2" s="1"/>
  <c r="AN36" i="2"/>
  <c r="AL36" i="2"/>
  <c r="AO36" i="2" s="1"/>
  <c r="AP36" i="2" s="1"/>
  <c r="BN36" i="2" s="1"/>
  <c r="BO36" i="2" s="1"/>
  <c r="AJ36" i="2"/>
  <c r="AD36" i="2"/>
  <c r="AE36" i="2" s="1"/>
  <c r="AB36" i="2"/>
  <c r="X36" i="2"/>
  <c r="V36" i="2"/>
  <c r="T36" i="2"/>
  <c r="Y36" i="2" s="1"/>
  <c r="Z36" i="2" s="1"/>
  <c r="P36" i="2"/>
  <c r="N36" i="2"/>
  <c r="L36" i="2"/>
  <c r="J36" i="2"/>
  <c r="Q36" i="2" s="1"/>
  <c r="R36" i="2" s="1"/>
  <c r="AF36" i="2" s="1"/>
  <c r="F36" i="2"/>
  <c r="D36" i="2"/>
  <c r="G36" i="2" s="1"/>
  <c r="H36" i="2" s="1"/>
  <c r="BL35" i="2"/>
  <c r="BM35" i="2" s="1"/>
  <c r="BJ35" i="2"/>
  <c r="BF35" i="2"/>
  <c r="BD35" i="2"/>
  <c r="BB35" i="2"/>
  <c r="BG35" i="2" s="1"/>
  <c r="BH35" i="2" s="1"/>
  <c r="AX35" i="2"/>
  <c r="AV35" i="2"/>
  <c r="AT35" i="2"/>
  <c r="AR35" i="2"/>
  <c r="AN35" i="2"/>
  <c r="AL35" i="2"/>
  <c r="AO35" i="2" s="1"/>
  <c r="AP35" i="2" s="1"/>
  <c r="AJ35" i="2"/>
  <c r="AD35" i="2"/>
  <c r="AE35" i="2" s="1"/>
  <c r="AB35" i="2"/>
  <c r="X35" i="2"/>
  <c r="V35" i="2"/>
  <c r="T35" i="2"/>
  <c r="Y35" i="2" s="1"/>
  <c r="Z35" i="2" s="1"/>
  <c r="P35" i="2"/>
  <c r="N35" i="2"/>
  <c r="L35" i="2"/>
  <c r="J35" i="2"/>
  <c r="F35" i="2"/>
  <c r="D35" i="2"/>
  <c r="G35" i="2" s="1"/>
  <c r="H35" i="2" s="1"/>
  <c r="BL34" i="2"/>
  <c r="BM34" i="2" s="1"/>
  <c r="BJ34" i="2"/>
  <c r="BF34" i="2"/>
  <c r="BD34" i="2"/>
  <c r="BB34" i="2"/>
  <c r="AX34" i="2"/>
  <c r="AV34" i="2"/>
  <c r="AT34" i="2"/>
  <c r="AR34" i="2"/>
  <c r="AY34" i="2" s="1"/>
  <c r="AZ34" i="2" s="1"/>
  <c r="AN34" i="2"/>
  <c r="AL34" i="2"/>
  <c r="AO34" i="2" s="1"/>
  <c r="AP34" i="2" s="1"/>
  <c r="AJ34" i="2"/>
  <c r="AD34" i="2"/>
  <c r="AE34" i="2" s="1"/>
  <c r="AB34" i="2"/>
  <c r="X34" i="2"/>
  <c r="V34" i="2"/>
  <c r="T34" i="2"/>
  <c r="P34" i="2"/>
  <c r="N34" i="2"/>
  <c r="L34" i="2"/>
  <c r="J34" i="2"/>
  <c r="Q34" i="2" s="1"/>
  <c r="R34" i="2" s="1"/>
  <c r="F34" i="2"/>
  <c r="D34" i="2"/>
  <c r="G34" i="2" s="1"/>
  <c r="H34" i="2" s="1"/>
  <c r="BL33" i="2"/>
  <c r="BM33" i="2" s="1"/>
  <c r="BJ33" i="2"/>
  <c r="BF33" i="2"/>
  <c r="BD33" i="2"/>
  <c r="BB33" i="2"/>
  <c r="AX33" i="2"/>
  <c r="AV33" i="2"/>
  <c r="AY33" i="2" s="1"/>
  <c r="AZ33" i="2" s="1"/>
  <c r="AT33" i="2"/>
  <c r="AR33" i="2"/>
  <c r="AN33" i="2"/>
  <c r="AL33" i="2"/>
  <c r="AO33" i="2" s="1"/>
  <c r="AP33" i="2" s="1"/>
  <c r="AJ33" i="2"/>
  <c r="AD33" i="2"/>
  <c r="AE33" i="2" s="1"/>
  <c r="AB33" i="2"/>
  <c r="X33" i="2"/>
  <c r="V33" i="2"/>
  <c r="T33" i="2"/>
  <c r="Y33" i="2" s="1"/>
  <c r="Z33" i="2" s="1"/>
  <c r="P33" i="2"/>
  <c r="N33" i="2"/>
  <c r="L33" i="2"/>
  <c r="J33" i="2"/>
  <c r="Q33" i="2" s="1"/>
  <c r="R33" i="2" s="1"/>
  <c r="F33" i="2"/>
  <c r="D33" i="2"/>
  <c r="G33" i="2" s="1"/>
  <c r="H33" i="2" s="1"/>
  <c r="BL32" i="2"/>
  <c r="BM32" i="2" s="1"/>
  <c r="BJ32" i="2"/>
  <c r="BF32" i="2"/>
  <c r="BD32" i="2"/>
  <c r="BB32" i="2"/>
  <c r="BG32" i="2" s="1"/>
  <c r="BH32" i="2" s="1"/>
  <c r="AX32" i="2"/>
  <c r="AV32" i="2"/>
  <c r="AT32" i="2"/>
  <c r="AR32" i="2"/>
  <c r="AN32" i="2"/>
  <c r="AL32" i="2"/>
  <c r="AO32" i="2" s="1"/>
  <c r="AP32" i="2" s="1"/>
  <c r="AJ32" i="2"/>
  <c r="AD32" i="2"/>
  <c r="AE32" i="2" s="1"/>
  <c r="AB32" i="2"/>
  <c r="X32" i="2"/>
  <c r="V32" i="2"/>
  <c r="T32" i="2"/>
  <c r="P32" i="2"/>
  <c r="N32" i="2"/>
  <c r="L32" i="2"/>
  <c r="J32" i="2"/>
  <c r="Q32" i="2" s="1"/>
  <c r="R32" i="2" s="1"/>
  <c r="F32" i="2"/>
  <c r="D32" i="2"/>
  <c r="G32" i="2" s="1"/>
  <c r="H32" i="2" s="1"/>
  <c r="BL31" i="2"/>
  <c r="BM31" i="2" s="1"/>
  <c r="BJ31" i="2"/>
  <c r="BF31" i="2"/>
  <c r="BD31" i="2"/>
  <c r="BB31" i="2"/>
  <c r="BG31" i="2" s="1"/>
  <c r="BH31" i="2" s="1"/>
  <c r="AX31" i="2"/>
  <c r="AV31" i="2"/>
  <c r="AT31" i="2"/>
  <c r="AR31" i="2"/>
  <c r="AN31" i="2"/>
  <c r="AL31" i="2"/>
  <c r="AO31" i="2" s="1"/>
  <c r="AP31" i="2" s="1"/>
  <c r="AJ31" i="2"/>
  <c r="AD31" i="2"/>
  <c r="AE31" i="2" s="1"/>
  <c r="AB31" i="2"/>
  <c r="X31" i="2"/>
  <c r="V31" i="2"/>
  <c r="T31" i="2"/>
  <c r="P31" i="2"/>
  <c r="N31" i="2"/>
  <c r="L31" i="2"/>
  <c r="J31" i="2"/>
  <c r="Q31" i="2" s="1"/>
  <c r="R31" i="2" s="1"/>
  <c r="F31" i="2"/>
  <c r="D31" i="2"/>
  <c r="G31" i="2" s="1"/>
  <c r="H31" i="2" s="1"/>
  <c r="BL30" i="2"/>
  <c r="BM30" i="2" s="1"/>
  <c r="BJ30" i="2"/>
  <c r="BF30" i="2"/>
  <c r="BD30" i="2"/>
  <c r="BB30" i="2"/>
  <c r="BG30" i="2" s="1"/>
  <c r="BH30" i="2" s="1"/>
  <c r="AX30" i="2"/>
  <c r="AV30" i="2"/>
  <c r="AT30" i="2"/>
  <c r="AR30" i="2"/>
  <c r="AY30" i="2" s="1"/>
  <c r="AZ30" i="2" s="1"/>
  <c r="AN30" i="2"/>
  <c r="AL30" i="2"/>
  <c r="AO30" i="2" s="1"/>
  <c r="AP30" i="2" s="1"/>
  <c r="BN30" i="2" s="1"/>
  <c r="BO30" i="2" s="1"/>
  <c r="AJ30" i="2"/>
  <c r="AD30" i="2"/>
  <c r="AE30" i="2" s="1"/>
  <c r="AB30" i="2"/>
  <c r="X30" i="2"/>
  <c r="V30" i="2"/>
  <c r="T30" i="2"/>
  <c r="Y30" i="2" s="1"/>
  <c r="Z30" i="2" s="1"/>
  <c r="P30" i="2"/>
  <c r="N30" i="2"/>
  <c r="L30" i="2"/>
  <c r="J30" i="2"/>
  <c r="Q30" i="2" s="1"/>
  <c r="R30" i="2" s="1"/>
  <c r="AF30" i="2" s="1"/>
  <c r="F30" i="2"/>
  <c r="D30" i="2"/>
  <c r="G30" i="2" s="1"/>
  <c r="H30" i="2" s="1"/>
  <c r="BL29" i="2"/>
  <c r="BM29" i="2" s="1"/>
  <c r="BJ29" i="2"/>
  <c r="BF29" i="2"/>
  <c r="BD29" i="2"/>
  <c r="BB29" i="2"/>
  <c r="AX29" i="2"/>
  <c r="AV29" i="2"/>
  <c r="AT29" i="2"/>
  <c r="AR29" i="2"/>
  <c r="AY29" i="2" s="1"/>
  <c r="AZ29" i="2" s="1"/>
  <c r="AN29" i="2"/>
  <c r="AL29" i="2"/>
  <c r="AJ29" i="2"/>
  <c r="AD29" i="2"/>
  <c r="AE29" i="2" s="1"/>
  <c r="AB29" i="2"/>
  <c r="X29" i="2"/>
  <c r="V29" i="2"/>
  <c r="T29" i="2"/>
  <c r="Y29" i="2" s="1"/>
  <c r="Z29" i="2" s="1"/>
  <c r="P29" i="2"/>
  <c r="N29" i="2"/>
  <c r="L29" i="2"/>
  <c r="J29" i="2"/>
  <c r="F29" i="2"/>
  <c r="D29" i="2"/>
  <c r="G29" i="2" s="1"/>
  <c r="H29" i="2" s="1"/>
  <c r="BL28" i="2"/>
  <c r="BM28" i="2" s="1"/>
  <c r="BJ28" i="2"/>
  <c r="BF28" i="2"/>
  <c r="BD28" i="2"/>
  <c r="BB28" i="2"/>
  <c r="BG28" i="2" s="1"/>
  <c r="BH28" i="2" s="1"/>
  <c r="AX28" i="2"/>
  <c r="AV28" i="2"/>
  <c r="AT28" i="2"/>
  <c r="AR28" i="2"/>
  <c r="AY28" i="2" s="1"/>
  <c r="AZ28" i="2" s="1"/>
  <c r="BN28" i="2" s="1"/>
  <c r="BO28" i="2" s="1"/>
  <c r="AN28" i="2"/>
  <c r="AL28" i="2"/>
  <c r="AO28" i="2" s="1"/>
  <c r="AP28" i="2" s="1"/>
  <c r="AJ28" i="2"/>
  <c r="AD28" i="2"/>
  <c r="AE28" i="2" s="1"/>
  <c r="AB28" i="2"/>
  <c r="X28" i="2"/>
  <c r="V28" i="2"/>
  <c r="T28" i="2"/>
  <c r="P28" i="2"/>
  <c r="N28" i="2"/>
  <c r="L28" i="2"/>
  <c r="J28" i="2"/>
  <c r="Q28" i="2" s="1"/>
  <c r="R28" i="2" s="1"/>
  <c r="F28" i="2"/>
  <c r="D28" i="2"/>
  <c r="G28" i="2" s="1"/>
  <c r="H28" i="2" s="1"/>
  <c r="BL27" i="2"/>
  <c r="BM27" i="2" s="1"/>
  <c r="BJ27" i="2"/>
  <c r="BF27" i="2"/>
  <c r="BD27" i="2"/>
  <c r="BB27" i="2"/>
  <c r="AX27" i="2"/>
  <c r="AV27" i="2"/>
  <c r="AT27" i="2"/>
  <c r="AR27" i="2"/>
  <c r="AY27" i="2" s="1"/>
  <c r="AZ27" i="2" s="1"/>
  <c r="AN27" i="2"/>
  <c r="AL27" i="2"/>
  <c r="AJ27" i="2"/>
  <c r="AD27" i="2"/>
  <c r="AE27" i="2" s="1"/>
  <c r="AB27" i="2"/>
  <c r="X27" i="2"/>
  <c r="V27" i="2"/>
  <c r="T27" i="2"/>
  <c r="Y27" i="2" s="1"/>
  <c r="Z27" i="2" s="1"/>
  <c r="P27" i="2"/>
  <c r="N27" i="2"/>
  <c r="L27" i="2"/>
  <c r="J27" i="2"/>
  <c r="F27" i="2"/>
  <c r="D27" i="2"/>
  <c r="G27" i="2" s="1"/>
  <c r="H27" i="2" s="1"/>
  <c r="BL26" i="2"/>
  <c r="BM26" i="2" s="1"/>
  <c r="BJ26" i="2"/>
  <c r="BF26" i="2"/>
  <c r="BD26" i="2"/>
  <c r="BB26" i="2"/>
  <c r="BG26" i="2" s="1"/>
  <c r="BH26" i="2" s="1"/>
  <c r="AX26" i="2"/>
  <c r="AV26" i="2"/>
  <c r="AT26" i="2"/>
  <c r="AR26" i="2"/>
  <c r="AN26" i="2"/>
  <c r="AL26" i="2"/>
  <c r="AO26" i="2" s="1"/>
  <c r="AP26" i="2" s="1"/>
  <c r="AJ26" i="2"/>
  <c r="AD26" i="2"/>
  <c r="AE26" i="2" s="1"/>
  <c r="AB26" i="2"/>
  <c r="X26" i="2"/>
  <c r="V26" i="2"/>
  <c r="T26" i="2"/>
  <c r="P26" i="2"/>
  <c r="N26" i="2"/>
  <c r="L26" i="2"/>
  <c r="J26" i="2"/>
  <c r="Q26" i="2" s="1"/>
  <c r="R26" i="2" s="1"/>
  <c r="F26" i="2"/>
  <c r="D26" i="2"/>
  <c r="G26" i="2" s="1"/>
  <c r="H26" i="2" s="1"/>
  <c r="BL25" i="2"/>
  <c r="BM25" i="2" s="1"/>
  <c r="BJ25" i="2"/>
  <c r="BF25" i="2"/>
  <c r="BD25" i="2"/>
  <c r="BB25" i="2"/>
  <c r="BG25" i="2" s="1"/>
  <c r="BH25" i="2" s="1"/>
  <c r="AX25" i="2"/>
  <c r="AV25" i="2"/>
  <c r="AT25" i="2"/>
  <c r="AR25" i="2"/>
  <c r="AY25" i="2" s="1"/>
  <c r="AZ25" i="2" s="1"/>
  <c r="AN25" i="2"/>
  <c r="AL25" i="2"/>
  <c r="AO25" i="2" s="1"/>
  <c r="AP25" i="2" s="1"/>
  <c r="BN25" i="2" s="1"/>
  <c r="BO25" i="2" s="1"/>
  <c r="AJ25" i="2"/>
  <c r="AD25" i="2"/>
  <c r="AE25" i="2" s="1"/>
  <c r="AB25" i="2"/>
  <c r="X25" i="2"/>
  <c r="V25" i="2"/>
  <c r="T25" i="2"/>
  <c r="Y25" i="2" s="1"/>
  <c r="Z25" i="2" s="1"/>
  <c r="P25" i="2"/>
  <c r="N25" i="2"/>
  <c r="L25" i="2"/>
  <c r="J25" i="2"/>
  <c r="Q25" i="2" s="1"/>
  <c r="R25" i="2" s="1"/>
  <c r="F25" i="2"/>
  <c r="D25" i="2"/>
  <c r="BL24" i="2"/>
  <c r="BM24" i="2" s="1"/>
  <c r="BJ24" i="2"/>
  <c r="BF24" i="2"/>
  <c r="BD24" i="2"/>
  <c r="BB24" i="2"/>
  <c r="BG24" i="2" s="1"/>
  <c r="BH24" i="2" s="1"/>
  <c r="AX24" i="2"/>
  <c r="AV24" i="2"/>
  <c r="AT24" i="2"/>
  <c r="AR24" i="2"/>
  <c r="AN24" i="2"/>
  <c r="AL24" i="2"/>
  <c r="AO24" i="2" s="1"/>
  <c r="AP24" i="2" s="1"/>
  <c r="AJ24" i="2"/>
  <c r="AD24" i="2"/>
  <c r="AE24" i="2" s="1"/>
  <c r="AB24" i="2"/>
  <c r="X24" i="2"/>
  <c r="V24" i="2"/>
  <c r="T24" i="2"/>
  <c r="Y24" i="2" s="1"/>
  <c r="Z24" i="2" s="1"/>
  <c r="P24" i="2"/>
  <c r="N24" i="2"/>
  <c r="L24" i="2"/>
  <c r="J24" i="2"/>
  <c r="F24" i="2"/>
  <c r="D24" i="2"/>
  <c r="G24" i="2" s="1"/>
  <c r="H24" i="2" s="1"/>
  <c r="BL23" i="2"/>
  <c r="BM23" i="2" s="1"/>
  <c r="BJ23" i="2"/>
  <c r="BF23" i="2"/>
  <c r="BG23" i="2" s="1"/>
  <c r="BH23" i="2" s="1"/>
  <c r="BD23" i="2"/>
  <c r="BB23" i="2"/>
  <c r="AX23" i="2"/>
  <c r="AV23" i="2"/>
  <c r="AT23" i="2"/>
  <c r="AR23" i="2"/>
  <c r="AY23" i="2" s="1"/>
  <c r="AZ23" i="2" s="1"/>
  <c r="AN23" i="2"/>
  <c r="AL23" i="2"/>
  <c r="AO23" i="2" s="1"/>
  <c r="AP23" i="2" s="1"/>
  <c r="AJ23" i="2"/>
  <c r="AD23" i="2"/>
  <c r="AE23" i="2" s="1"/>
  <c r="AB23" i="2"/>
  <c r="X23" i="2"/>
  <c r="V23" i="2"/>
  <c r="T23" i="2"/>
  <c r="Y23" i="2" s="1"/>
  <c r="Z23" i="2" s="1"/>
  <c r="P23" i="2"/>
  <c r="N23" i="2"/>
  <c r="L23" i="2"/>
  <c r="J23" i="2"/>
  <c r="Q23" i="2" s="1"/>
  <c r="R23" i="2" s="1"/>
  <c r="F23" i="2"/>
  <c r="D23" i="2"/>
  <c r="G23" i="2" s="1"/>
  <c r="H23" i="2" s="1"/>
  <c r="AF23" i="2" s="1"/>
  <c r="BL22" i="2"/>
  <c r="BM22" i="2" s="1"/>
  <c r="BJ22" i="2"/>
  <c r="BF22" i="2"/>
  <c r="BD22" i="2"/>
  <c r="BB22" i="2"/>
  <c r="BG22" i="2" s="1"/>
  <c r="BH22" i="2" s="1"/>
  <c r="AX22" i="2"/>
  <c r="AV22" i="2"/>
  <c r="AT22" i="2"/>
  <c r="AR22" i="2"/>
  <c r="AY22" i="2" s="1"/>
  <c r="AZ22" i="2" s="1"/>
  <c r="AN22" i="2"/>
  <c r="AL22" i="2"/>
  <c r="AJ22" i="2"/>
  <c r="AD22" i="2"/>
  <c r="AE22" i="2" s="1"/>
  <c r="AB22" i="2"/>
  <c r="X22" i="2"/>
  <c r="V22" i="2"/>
  <c r="T22" i="2"/>
  <c r="Y22" i="2" s="1"/>
  <c r="Z22" i="2" s="1"/>
  <c r="P22" i="2"/>
  <c r="N22" i="2"/>
  <c r="L22" i="2"/>
  <c r="J22" i="2"/>
  <c r="F22" i="2"/>
  <c r="D22" i="2"/>
  <c r="G22" i="2" s="1"/>
  <c r="H22" i="2" s="1"/>
  <c r="BL21" i="2"/>
  <c r="BM21" i="2" s="1"/>
  <c r="BJ21" i="2"/>
  <c r="BF21" i="2"/>
  <c r="BD21" i="2"/>
  <c r="BB21" i="2"/>
  <c r="BG21" i="2" s="1"/>
  <c r="BH21" i="2" s="1"/>
  <c r="AX21" i="2"/>
  <c r="AV21" i="2"/>
  <c r="AT21" i="2"/>
  <c r="AR21" i="2"/>
  <c r="AN21" i="2"/>
  <c r="AL21" i="2"/>
  <c r="AO21" i="2" s="1"/>
  <c r="AP21" i="2" s="1"/>
  <c r="AJ21" i="2"/>
  <c r="AD21" i="2"/>
  <c r="AE21" i="2" s="1"/>
  <c r="AB21" i="2"/>
  <c r="X21" i="2"/>
  <c r="V21" i="2"/>
  <c r="T21" i="2"/>
  <c r="P21" i="2"/>
  <c r="N21" i="2"/>
  <c r="L21" i="2"/>
  <c r="J21" i="2"/>
  <c r="F21" i="2"/>
  <c r="D21" i="2"/>
  <c r="G21" i="2" s="1"/>
  <c r="H21" i="2" s="1"/>
  <c r="BL20" i="2"/>
  <c r="BM20" i="2" s="1"/>
  <c r="BJ20" i="2"/>
  <c r="BF20" i="2"/>
  <c r="BD20" i="2"/>
  <c r="BB20" i="2"/>
  <c r="AX20" i="2"/>
  <c r="AV20" i="2"/>
  <c r="AT20" i="2"/>
  <c r="AR20" i="2"/>
  <c r="AN20" i="2"/>
  <c r="AL20" i="2"/>
  <c r="AO20" i="2" s="1"/>
  <c r="AP20" i="2" s="1"/>
  <c r="AJ20" i="2"/>
  <c r="AD20" i="2"/>
  <c r="AE20" i="2" s="1"/>
  <c r="AB20" i="2"/>
  <c r="X20" i="2"/>
  <c r="V20" i="2"/>
  <c r="T20" i="2"/>
  <c r="Y20" i="2" s="1"/>
  <c r="Z20" i="2" s="1"/>
  <c r="P20" i="2"/>
  <c r="N20" i="2"/>
  <c r="L20" i="2"/>
  <c r="J20" i="2"/>
  <c r="Q20" i="2" s="1"/>
  <c r="R20" i="2" s="1"/>
  <c r="F20" i="2"/>
  <c r="D20" i="2"/>
  <c r="BL19" i="2"/>
  <c r="BM19" i="2" s="1"/>
  <c r="BJ19" i="2"/>
  <c r="BF19" i="2"/>
  <c r="BD19" i="2"/>
  <c r="BB19" i="2"/>
  <c r="BG19" i="2" s="1"/>
  <c r="BH19" i="2" s="1"/>
  <c r="AX19" i="2"/>
  <c r="AV19" i="2"/>
  <c r="AT19" i="2"/>
  <c r="AR19" i="2"/>
  <c r="AY19" i="2" s="1"/>
  <c r="AZ19" i="2" s="1"/>
  <c r="AN19" i="2"/>
  <c r="AL19" i="2"/>
  <c r="AO19" i="2" s="1"/>
  <c r="AP19" i="2" s="1"/>
  <c r="AJ19" i="2"/>
  <c r="AD19" i="2"/>
  <c r="AE19" i="2" s="1"/>
  <c r="AB19" i="2"/>
  <c r="X19" i="2"/>
  <c r="V19" i="2"/>
  <c r="T19" i="2"/>
  <c r="Y19" i="2" s="1"/>
  <c r="Z19" i="2" s="1"/>
  <c r="P19" i="2"/>
  <c r="N19" i="2"/>
  <c r="L19" i="2"/>
  <c r="J19" i="2"/>
  <c r="F19" i="2"/>
  <c r="D19" i="2"/>
  <c r="G19" i="2" s="1"/>
  <c r="H19" i="2" s="1"/>
  <c r="BL18" i="2"/>
  <c r="BM18" i="2" s="1"/>
  <c r="BJ18" i="2"/>
  <c r="BF18" i="2"/>
  <c r="BD18" i="2"/>
  <c r="BB18" i="2"/>
  <c r="BG18" i="2" s="1"/>
  <c r="BH18" i="2" s="1"/>
  <c r="AX18" i="2"/>
  <c r="AV18" i="2"/>
  <c r="AT18" i="2"/>
  <c r="AR18" i="2"/>
  <c r="AN18" i="2"/>
  <c r="AL18" i="2"/>
  <c r="AO18" i="2" s="1"/>
  <c r="AP18" i="2" s="1"/>
  <c r="AJ18" i="2"/>
  <c r="AD18" i="2"/>
  <c r="AE18" i="2" s="1"/>
  <c r="AB18" i="2"/>
  <c r="X18" i="2"/>
  <c r="V18" i="2"/>
  <c r="T18" i="2"/>
  <c r="P18" i="2"/>
  <c r="N18" i="2"/>
  <c r="L18" i="2"/>
  <c r="J18" i="2"/>
  <c r="Q18" i="2" s="1"/>
  <c r="R18" i="2" s="1"/>
  <c r="F18" i="2"/>
  <c r="D18" i="2"/>
  <c r="G18" i="2" s="1"/>
  <c r="H18" i="2" s="1"/>
  <c r="BL17" i="2"/>
  <c r="BM17" i="2" s="1"/>
  <c r="BJ17" i="2"/>
  <c r="BF17" i="2"/>
  <c r="BD17" i="2"/>
  <c r="BB17" i="2"/>
  <c r="BG17" i="2" s="1"/>
  <c r="BH17" i="2" s="1"/>
  <c r="AX17" i="2"/>
  <c r="AV17" i="2"/>
  <c r="AT17" i="2"/>
  <c r="AR17" i="2"/>
  <c r="AY17" i="2" s="1"/>
  <c r="AZ17" i="2" s="1"/>
  <c r="AN17" i="2"/>
  <c r="AL17" i="2"/>
  <c r="AO17" i="2" s="1"/>
  <c r="AP17" i="2" s="1"/>
  <c r="BN17" i="2" s="1"/>
  <c r="BO17" i="2" s="1"/>
  <c r="AJ17" i="2"/>
  <c r="AD17" i="2"/>
  <c r="AE17" i="2" s="1"/>
  <c r="AB17" i="2"/>
  <c r="X17" i="2"/>
  <c r="V17" i="2"/>
  <c r="T17" i="2"/>
  <c r="Y17" i="2" s="1"/>
  <c r="Z17" i="2" s="1"/>
  <c r="P17" i="2"/>
  <c r="N17" i="2"/>
  <c r="L17" i="2"/>
  <c r="J17" i="2"/>
  <c r="Q17" i="2" s="1"/>
  <c r="R17" i="2" s="1"/>
  <c r="F17" i="2"/>
  <c r="D17" i="2"/>
  <c r="G17" i="2" s="1"/>
  <c r="H17" i="2" s="1"/>
  <c r="BL16" i="2"/>
  <c r="BM16" i="2" s="1"/>
  <c r="BJ16" i="2"/>
  <c r="BF16" i="2"/>
  <c r="BD16" i="2"/>
  <c r="BB16" i="2"/>
  <c r="BG16" i="2" s="1"/>
  <c r="BH16" i="2" s="1"/>
  <c r="AX16" i="2"/>
  <c r="AV16" i="2"/>
  <c r="AT16" i="2"/>
  <c r="AR16" i="2"/>
  <c r="AN16" i="2"/>
  <c r="AL16" i="2"/>
  <c r="AO16" i="2" s="1"/>
  <c r="AP16" i="2" s="1"/>
  <c r="AJ16" i="2"/>
  <c r="AD16" i="2"/>
  <c r="AE16" i="2" s="1"/>
  <c r="AB16" i="2"/>
  <c r="X16" i="2"/>
  <c r="V16" i="2"/>
  <c r="T16" i="2"/>
  <c r="Y16" i="2" s="1"/>
  <c r="Z16" i="2" s="1"/>
  <c r="P16" i="2"/>
  <c r="N16" i="2"/>
  <c r="L16" i="2"/>
  <c r="J16" i="2"/>
  <c r="F16" i="2"/>
  <c r="D16" i="2"/>
  <c r="G16" i="2" s="1"/>
  <c r="H16" i="2" s="1"/>
  <c r="BL15" i="2"/>
  <c r="BM15" i="2" s="1"/>
  <c r="BJ15" i="2"/>
  <c r="BF15" i="2"/>
  <c r="BD15" i="2"/>
  <c r="BB15" i="2"/>
  <c r="BG15" i="2" s="1"/>
  <c r="BH15" i="2" s="1"/>
  <c r="AX15" i="2"/>
  <c r="AV15" i="2"/>
  <c r="AT15" i="2"/>
  <c r="AR15" i="2"/>
  <c r="AY15" i="2" s="1"/>
  <c r="AZ15" i="2" s="1"/>
  <c r="AN15" i="2"/>
  <c r="AL15" i="2"/>
  <c r="AO15" i="2" s="1"/>
  <c r="AP15" i="2" s="1"/>
  <c r="AJ15" i="2"/>
  <c r="AD15" i="2"/>
  <c r="AE15" i="2" s="1"/>
  <c r="AB15" i="2"/>
  <c r="X15" i="2"/>
  <c r="V15" i="2"/>
  <c r="T15" i="2"/>
  <c r="Y15" i="2" s="1"/>
  <c r="Z15" i="2" s="1"/>
  <c r="P15" i="2"/>
  <c r="N15" i="2"/>
  <c r="L15" i="2"/>
  <c r="J15" i="2"/>
  <c r="Q15" i="2" s="1"/>
  <c r="R15" i="2" s="1"/>
  <c r="F15" i="2"/>
  <c r="D15" i="2"/>
  <c r="G15" i="2" s="1"/>
  <c r="H15" i="2" s="1"/>
  <c r="AF15" i="2" s="1"/>
  <c r="AF57" i="2" l="1"/>
  <c r="AY56" i="2"/>
  <c r="AZ56" i="2" s="1"/>
  <c r="Q54" i="2"/>
  <c r="R54" i="2" s="1"/>
  <c r="AF54" i="2" s="1"/>
  <c r="AY53" i="2"/>
  <c r="AZ53" i="2" s="1"/>
  <c r="BN53" i="2" s="1"/>
  <c r="BO53" i="2" s="1"/>
  <c r="Q49" i="2"/>
  <c r="R49" i="2" s="1"/>
  <c r="AY43" i="2"/>
  <c r="AZ43" i="2" s="1"/>
  <c r="BN43" i="2" s="1"/>
  <c r="BO43" i="2" s="1"/>
  <c r="AY48" i="2"/>
  <c r="AZ48" i="2" s="1"/>
  <c r="AY45" i="2"/>
  <c r="AZ45" i="2" s="1"/>
  <c r="BN45" i="2" s="1"/>
  <c r="BO45" i="2" s="1"/>
  <c r="Y45" i="2"/>
  <c r="Z45" i="2" s="1"/>
  <c r="G45" i="2"/>
  <c r="H45" i="2" s="1"/>
  <c r="Q43" i="2"/>
  <c r="R43" i="2" s="1"/>
  <c r="AF43" i="2" s="1"/>
  <c r="BG42" i="2"/>
  <c r="BH42" i="2" s="1"/>
  <c r="BN42" i="2" s="1"/>
  <c r="BO42" i="2" s="1"/>
  <c r="AO41" i="2"/>
  <c r="AP41" i="2" s="1"/>
  <c r="Q41" i="2"/>
  <c r="R41" i="2" s="1"/>
  <c r="AF41" i="2" s="1"/>
  <c r="AY38" i="2"/>
  <c r="AZ38" i="2" s="1"/>
  <c r="BN38" i="2" s="1"/>
  <c r="BO38" i="2" s="1"/>
  <c r="Y40" i="2"/>
  <c r="Z40" i="2" s="1"/>
  <c r="BN37" i="2"/>
  <c r="BO37" i="2" s="1"/>
  <c r="AY35" i="2"/>
  <c r="AZ35" i="2" s="1"/>
  <c r="BN35" i="2" s="1"/>
  <c r="BO35" i="2" s="1"/>
  <c r="Q35" i="2"/>
  <c r="R35" i="2" s="1"/>
  <c r="BG33" i="2"/>
  <c r="BH33" i="2" s="1"/>
  <c r="BN33" i="2" s="1"/>
  <c r="BO33" i="2" s="1"/>
  <c r="Y32" i="2"/>
  <c r="Z32" i="2" s="1"/>
  <c r="AO57" i="2"/>
  <c r="AP57" i="2" s="1"/>
  <c r="Y56" i="2"/>
  <c r="Z56" i="2" s="1"/>
  <c r="AF56" i="2" s="1"/>
  <c r="Q51" i="2"/>
  <c r="R51" i="2" s="1"/>
  <c r="AY31" i="2"/>
  <c r="AZ31" i="2" s="1"/>
  <c r="BN31" i="2" s="1"/>
  <c r="BO31" i="2" s="1"/>
  <c r="Y31" i="2"/>
  <c r="Z31" i="2" s="1"/>
  <c r="BG29" i="2"/>
  <c r="BH29" i="2" s="1"/>
  <c r="AY40" i="2"/>
  <c r="AZ40" i="2" s="1"/>
  <c r="BN40" i="2" s="1"/>
  <c r="BO40" i="2" s="1"/>
  <c r="Q29" i="2"/>
  <c r="R29" i="2" s="1"/>
  <c r="AF29" i="2" s="1"/>
  <c r="Y28" i="2"/>
  <c r="Z28" i="2" s="1"/>
  <c r="AO27" i="2"/>
  <c r="AP27" i="2" s="1"/>
  <c r="Q27" i="2"/>
  <c r="R27" i="2" s="1"/>
  <c r="AY26" i="2"/>
  <c r="AZ26" i="2" s="1"/>
  <c r="BG50" i="2"/>
  <c r="BH50" i="2" s="1"/>
  <c r="BN50" i="2" s="1"/>
  <c r="BO50" i="2" s="1"/>
  <c r="AO49" i="2"/>
  <c r="AP49" i="2" s="1"/>
  <c r="Q38" i="2"/>
  <c r="R38" i="2" s="1"/>
  <c r="Y26" i="2"/>
  <c r="Z26" i="2" s="1"/>
  <c r="G25" i="2"/>
  <c r="H25" i="2" s="1"/>
  <c r="AY24" i="2"/>
  <c r="AZ24" i="2" s="1"/>
  <c r="Q58" i="2"/>
  <c r="R58" i="2" s="1"/>
  <c r="AF58" i="2" s="1"/>
  <c r="G55" i="2"/>
  <c r="H55" i="2" s="1"/>
  <c r="AF55" i="2" s="1"/>
  <c r="Y53" i="2"/>
  <c r="Z53" i="2" s="1"/>
  <c r="AF53" i="2" s="1"/>
  <c r="Y48" i="2"/>
  <c r="Z48" i="2" s="1"/>
  <c r="AO22" i="2"/>
  <c r="AP22" i="2" s="1"/>
  <c r="BN22" i="2" s="1"/>
  <c r="BO22" i="2" s="1"/>
  <c r="Q22" i="2"/>
  <c r="R22" i="2" s="1"/>
  <c r="AY21" i="2"/>
  <c r="AZ21" i="2" s="1"/>
  <c r="Y21" i="2"/>
  <c r="Z21" i="2" s="1"/>
  <c r="BG20" i="2"/>
  <c r="BH20" i="2" s="1"/>
  <c r="Q19" i="2"/>
  <c r="R19" i="2" s="1"/>
  <c r="AY18" i="2"/>
  <c r="AZ18" i="2" s="1"/>
  <c r="G20" i="2"/>
  <c r="H20" i="2" s="1"/>
  <c r="AF20" i="2" s="1"/>
  <c r="Y18" i="2"/>
  <c r="Z18" i="2" s="1"/>
  <c r="AY55" i="2"/>
  <c r="AZ55" i="2" s="1"/>
  <c r="AY16" i="2"/>
  <c r="AZ16" i="2" s="1"/>
  <c r="Q16" i="2"/>
  <c r="R16" i="2" s="1"/>
  <c r="AF16" i="2" s="1"/>
  <c r="Q59" i="2"/>
  <c r="R59" i="2" s="1"/>
  <c r="AF59" i="2" s="1"/>
  <c r="BG58" i="2"/>
  <c r="BH58" i="2" s="1"/>
  <c r="BN58" i="2" s="1"/>
  <c r="BO58" i="2" s="1"/>
  <c r="AH20" i="2"/>
  <c r="AG20" i="2"/>
  <c r="AF17" i="2"/>
  <c r="AH29" i="2"/>
  <c r="AG29" i="2"/>
  <c r="AH30" i="2"/>
  <c r="AG30" i="2"/>
  <c r="BP30" i="2" s="1"/>
  <c r="BQ30" i="2" s="1"/>
  <c r="BR30" i="2" s="1"/>
  <c r="AG15" i="2"/>
  <c r="AH15" i="2"/>
  <c r="BN19" i="2"/>
  <c r="BO19" i="2" s="1"/>
  <c r="AG23" i="2"/>
  <c r="AH23" i="2"/>
  <c r="AF25" i="2"/>
  <c r="AF33" i="2"/>
  <c r="AH53" i="2"/>
  <c r="AG53" i="2"/>
  <c r="BP53" i="2" s="1"/>
  <c r="BQ53" i="2" s="1"/>
  <c r="BR53" i="2" s="1"/>
  <c r="AH57" i="2"/>
  <c r="AG57" i="2"/>
  <c r="AF27" i="2"/>
  <c r="AH55" i="2"/>
  <c r="AG55" i="2"/>
  <c r="BN16" i="2"/>
  <c r="BO16" i="2" s="1"/>
  <c r="AF19" i="2"/>
  <c r="AF21" i="2"/>
  <c r="AH41" i="2"/>
  <c r="AG41" i="2"/>
  <c r="BN18" i="2"/>
  <c r="BO18" i="2" s="1"/>
  <c r="AH59" i="2"/>
  <c r="AG59" i="2"/>
  <c r="AF22" i="2"/>
  <c r="BN23" i="2"/>
  <c r="BO23" i="2" s="1"/>
  <c r="BN15" i="2"/>
  <c r="BO15" i="2" s="1"/>
  <c r="Q21" i="2"/>
  <c r="R21" i="2" s="1"/>
  <c r="Q24" i="2"/>
  <c r="R24" i="2" s="1"/>
  <c r="AH36" i="2"/>
  <c r="AG36" i="2"/>
  <c r="BP36" i="2" s="1"/>
  <c r="BQ36" i="2" s="1"/>
  <c r="BR36" i="2" s="1"/>
  <c r="AH50" i="2"/>
  <c r="AG50" i="2"/>
  <c r="BP50" i="2" s="1"/>
  <c r="BQ50" i="2" s="1"/>
  <c r="BR50" i="2" s="1"/>
  <c r="AH54" i="2"/>
  <c r="AG54" i="2"/>
  <c r="BN24" i="2"/>
  <c r="BO24" i="2" s="1"/>
  <c r="AG56" i="2"/>
  <c r="AH56" i="2"/>
  <c r="BN26" i="2"/>
  <c r="BO26" i="2" s="1"/>
  <c r="BN21" i="2"/>
  <c r="BO21" i="2" s="1"/>
  <c r="AF24" i="2"/>
  <c r="AF28" i="2"/>
  <c r="AF26" i="2"/>
  <c r="AF18" i="2"/>
  <c r="AY20" i="2"/>
  <c r="AZ20" i="2" s="1"/>
  <c r="BN20" i="2" s="1"/>
  <c r="BO20" i="2" s="1"/>
  <c r="BG27" i="2"/>
  <c r="BH27" i="2" s="1"/>
  <c r="BN27" i="2" s="1"/>
  <c r="BO27" i="2" s="1"/>
  <c r="AO29" i="2"/>
  <c r="AP29" i="2" s="1"/>
  <c r="BN29" i="2" s="1"/>
  <c r="BO29" i="2" s="1"/>
  <c r="AH43" i="2"/>
  <c r="AG43" i="2"/>
  <c r="BP43" i="2" s="1"/>
  <c r="BQ43" i="2" s="1"/>
  <c r="BR43" i="2" s="1"/>
  <c r="AF40" i="2"/>
  <c r="AF42" i="2"/>
  <c r="BN52" i="2"/>
  <c r="BO52" i="2" s="1"/>
  <c r="BN56" i="2"/>
  <c r="BO56" i="2" s="1"/>
  <c r="BN57" i="2"/>
  <c r="BO57" i="2" s="1"/>
  <c r="BN46" i="2"/>
  <c r="BO46" i="2" s="1"/>
  <c r="AF32" i="2"/>
  <c r="AF39" i="2"/>
  <c r="BN48" i="2"/>
  <c r="BO48" i="2" s="1"/>
  <c r="BN51" i="2"/>
  <c r="BO51" i="2" s="1"/>
  <c r="AF44" i="2"/>
  <c r="BN54" i="2"/>
  <c r="BO54" i="2" s="1"/>
  <c r="AF35" i="2"/>
  <c r="AF38" i="2"/>
  <c r="Q42" i="2"/>
  <c r="R42" i="2" s="1"/>
  <c r="AF45" i="2"/>
  <c r="AF46" i="2"/>
  <c r="AF49" i="2"/>
  <c r="AF51" i="2"/>
  <c r="AF52" i="2"/>
  <c r="BN55" i="2"/>
  <c r="BO55" i="2" s="1"/>
  <c r="AH58" i="2"/>
  <c r="AG58" i="2"/>
  <c r="BP58" i="2" s="1"/>
  <c r="BQ58" i="2" s="1"/>
  <c r="BR58" i="2" s="1"/>
  <c r="AF37" i="2"/>
  <c r="BN44" i="2"/>
  <c r="BO44" i="2" s="1"/>
  <c r="BN49" i="2"/>
  <c r="BO49" i="2" s="1"/>
  <c r="AF31" i="2"/>
  <c r="BN47" i="2"/>
  <c r="BO47" i="2" s="1"/>
  <c r="BN59" i="2"/>
  <c r="BO59" i="2" s="1"/>
  <c r="AY32" i="2"/>
  <c r="AZ32" i="2" s="1"/>
  <c r="BN32" i="2" s="1"/>
  <c r="BO32" i="2" s="1"/>
  <c r="Y34" i="2"/>
  <c r="Z34" i="2" s="1"/>
  <c r="AF34" i="2" s="1"/>
  <c r="BG34" i="2"/>
  <c r="BH34" i="2" s="1"/>
  <c r="BN34" i="2" s="1"/>
  <c r="BO34" i="2" s="1"/>
  <c r="AY41" i="2"/>
  <c r="AZ41" i="2" s="1"/>
  <c r="BN41" i="2" s="1"/>
  <c r="BO41" i="2" s="1"/>
  <c r="AF47" i="2"/>
  <c r="AF48" i="2"/>
  <c r="AG34" i="2" l="1"/>
  <c r="BP34" i="2" s="1"/>
  <c r="BQ34" i="2" s="1"/>
  <c r="AH34" i="2"/>
  <c r="AG48" i="2"/>
  <c r="BP48" i="2" s="1"/>
  <c r="BQ48" i="2" s="1"/>
  <c r="BR48" i="2" s="1"/>
  <c r="AH48" i="2"/>
  <c r="AG31" i="2"/>
  <c r="BP31" i="2" s="1"/>
  <c r="BQ31" i="2" s="1"/>
  <c r="AH31" i="2"/>
  <c r="AH51" i="2"/>
  <c r="AG51" i="2"/>
  <c r="BP51" i="2" s="1"/>
  <c r="BQ51" i="2" s="1"/>
  <c r="BR51" i="2" s="1"/>
  <c r="AH22" i="2"/>
  <c r="AG22" i="2"/>
  <c r="BP22" i="2" s="1"/>
  <c r="BQ22" i="2" s="1"/>
  <c r="BR22" i="2" s="1"/>
  <c r="AG33" i="2"/>
  <c r="BP33" i="2" s="1"/>
  <c r="BQ33" i="2" s="1"/>
  <c r="AH33" i="2"/>
  <c r="AH47" i="2"/>
  <c r="AG47" i="2"/>
  <c r="BP47" i="2" s="1"/>
  <c r="BQ47" i="2" s="1"/>
  <c r="BR47" i="2" s="1"/>
  <c r="AH49" i="2"/>
  <c r="AG49" i="2"/>
  <c r="BP49" i="2" s="1"/>
  <c r="BQ49" i="2" s="1"/>
  <c r="BR49" i="2" s="1"/>
  <c r="BP59" i="2"/>
  <c r="BQ59" i="2" s="1"/>
  <c r="BR59" i="2" s="1"/>
  <c r="BP55" i="2"/>
  <c r="BQ55" i="2" s="1"/>
  <c r="BR55" i="2" s="1"/>
  <c r="AH46" i="2"/>
  <c r="AG46" i="2"/>
  <c r="BP46" i="2" s="1"/>
  <c r="BQ46" i="2" s="1"/>
  <c r="BR46" i="2" s="1"/>
  <c r="AH44" i="2"/>
  <c r="AG44" i="2"/>
  <c r="BP44" i="2" s="1"/>
  <c r="BQ44" i="2" s="1"/>
  <c r="BR44" i="2" s="1"/>
  <c r="AG25" i="2"/>
  <c r="BP25" i="2" s="1"/>
  <c r="BQ25" i="2" s="1"/>
  <c r="BR25" i="2" s="1"/>
  <c r="AH25" i="2"/>
  <c r="BP29" i="2"/>
  <c r="BQ29" i="2" s="1"/>
  <c r="BR29" i="2" s="1"/>
  <c r="AH37" i="2"/>
  <c r="AG37" i="2"/>
  <c r="BP37" i="2" s="1"/>
  <c r="BQ37" i="2" s="1"/>
  <c r="BR37" i="2" s="1"/>
  <c r="AH45" i="2"/>
  <c r="AG45" i="2"/>
  <c r="BP45" i="2" s="1"/>
  <c r="BQ45" i="2" s="1"/>
  <c r="BR45" i="2" s="1"/>
  <c r="AH42" i="2"/>
  <c r="AG42" i="2"/>
  <c r="BP42" i="2" s="1"/>
  <c r="BQ42" i="2" s="1"/>
  <c r="BR42" i="2" s="1"/>
  <c r="AH18" i="2"/>
  <c r="AG18" i="2"/>
  <c r="BP18" i="2" s="1"/>
  <c r="BQ18" i="2" s="1"/>
  <c r="BR18" i="2" s="1"/>
  <c r="BP56" i="2"/>
  <c r="BQ56" i="2" s="1"/>
  <c r="BR56" i="2" s="1"/>
  <c r="AH27" i="2"/>
  <c r="AG27" i="2"/>
  <c r="BP27" i="2" s="1"/>
  <c r="BQ27" i="2" s="1"/>
  <c r="BR27" i="2" s="1"/>
  <c r="AG40" i="2"/>
  <c r="BP40" i="2" s="1"/>
  <c r="BQ40" i="2" s="1"/>
  <c r="BR40" i="2" s="1"/>
  <c r="AH40" i="2"/>
  <c r="BP41" i="2"/>
  <c r="BQ41" i="2" s="1"/>
  <c r="BR41" i="2" s="1"/>
  <c r="BP57" i="2"/>
  <c r="BQ57" i="2" s="1"/>
  <c r="BR57" i="2" s="1"/>
  <c r="BP23" i="2"/>
  <c r="BQ23" i="2" s="1"/>
  <c r="BR23" i="2" s="1"/>
  <c r="AG17" i="2"/>
  <c r="BP17" i="2" s="1"/>
  <c r="BQ17" i="2" s="1"/>
  <c r="BR17" i="2" s="1"/>
  <c r="AH17" i="2"/>
  <c r="AG39" i="2"/>
  <c r="BP39" i="2" s="1"/>
  <c r="BQ39" i="2" s="1"/>
  <c r="AH39" i="2"/>
  <c r="AG26" i="2"/>
  <c r="BP26" i="2" s="1"/>
  <c r="BQ26" i="2" s="1"/>
  <c r="BR26" i="2" s="1"/>
  <c r="AH26" i="2"/>
  <c r="BP54" i="2"/>
  <c r="BQ54" i="2" s="1"/>
  <c r="BR54" i="2" s="1"/>
  <c r="AH16" i="2"/>
  <c r="AG16" i="2"/>
  <c r="BP16" i="2" s="1"/>
  <c r="BQ16" i="2" s="1"/>
  <c r="BR16" i="2" s="1"/>
  <c r="BP20" i="2"/>
  <c r="BQ20" i="2" s="1"/>
  <c r="BR20" i="2" s="1"/>
  <c r="AH38" i="2"/>
  <c r="AG38" i="2"/>
  <c r="BP38" i="2" s="1"/>
  <c r="BQ38" i="2" s="1"/>
  <c r="BR38" i="2" s="1"/>
  <c r="AG32" i="2"/>
  <c r="BP32" i="2" s="1"/>
  <c r="BQ32" i="2" s="1"/>
  <c r="AH32" i="2"/>
  <c r="AH28" i="2"/>
  <c r="AG28" i="2"/>
  <c r="BP28" i="2" s="1"/>
  <c r="BQ28" i="2" s="1"/>
  <c r="BR28" i="2" s="1"/>
  <c r="AG21" i="2"/>
  <c r="BP21" i="2" s="1"/>
  <c r="BQ21" i="2" s="1"/>
  <c r="BR21" i="2" s="1"/>
  <c r="AH21" i="2"/>
  <c r="AH52" i="2"/>
  <c r="AG52" i="2"/>
  <c r="BP52" i="2" s="1"/>
  <c r="BQ52" i="2" s="1"/>
  <c r="BR52" i="2" s="1"/>
  <c r="AG35" i="2"/>
  <c r="BP35" i="2" s="1"/>
  <c r="BQ35" i="2" s="1"/>
  <c r="BR35" i="2" s="1"/>
  <c r="AH35" i="2"/>
  <c r="AH24" i="2"/>
  <c r="AG24" i="2"/>
  <c r="BP24" i="2" s="1"/>
  <c r="BQ24" i="2" s="1"/>
  <c r="BR24" i="2" s="1"/>
  <c r="AH19" i="2"/>
  <c r="AG19" i="2"/>
  <c r="BP19" i="2" s="1"/>
  <c r="BQ19" i="2" s="1"/>
  <c r="BR19" i="2" s="1"/>
  <c r="BP15" i="2"/>
  <c r="BQ15" i="2" s="1"/>
  <c r="BR15" i="2" s="1"/>
</calcChain>
</file>

<file path=xl/sharedStrings.xml><?xml version="1.0" encoding="utf-8"?>
<sst xmlns="http://schemas.openxmlformats.org/spreadsheetml/2006/main" count="168" uniqueCount="47">
  <si>
    <t>Republic of the Philippines</t>
  </si>
  <si>
    <t>SAMAR STATE UNIVERSITY</t>
  </si>
  <si>
    <t>COLLEGE OF ARTS AND SCIENCES</t>
  </si>
  <si>
    <t>MIDTERM GRADE</t>
  </si>
  <si>
    <t>FINALS GRADE</t>
  </si>
  <si>
    <t>Name of Faculty:  MARK B. ESCALANTE</t>
  </si>
  <si>
    <t>SY 2025-2026</t>
  </si>
  <si>
    <t xml:space="preserve">First Semester   </t>
  </si>
  <si>
    <t>No.</t>
  </si>
  <si>
    <t>NAME</t>
  </si>
  <si>
    <t xml:space="preserve">
SUMMATIVE TEST</t>
  </si>
  <si>
    <t>CLASS PARTICIPATION</t>
  </si>
  <si>
    <t>Course Exercises/Laboratory</t>
  </si>
  <si>
    <t>Project/ Term Requirement</t>
  </si>
  <si>
    <t>MIDTERM EXAM</t>
  </si>
  <si>
    <t>OVERALL 1/2</t>
  </si>
  <si>
    <t>Project/Term Requirement</t>
  </si>
  <si>
    <t>FINAL EXAM</t>
  </si>
  <si>
    <t>FINAL TERM GRADE</t>
  </si>
  <si>
    <t>OVER ALL GRADE</t>
  </si>
  <si>
    <t>FINAL GRADE</t>
  </si>
  <si>
    <t>REMARKS</t>
  </si>
  <si>
    <t>Test 1</t>
  </si>
  <si>
    <t>Test 2</t>
  </si>
  <si>
    <t>Ave</t>
  </si>
  <si>
    <t>Quiz 1</t>
  </si>
  <si>
    <t>Quiz 2</t>
  </si>
  <si>
    <t>Ass. 1</t>
  </si>
  <si>
    <t>Recit.</t>
  </si>
  <si>
    <t>Lab.1</t>
  </si>
  <si>
    <t>Lab.2</t>
  </si>
  <si>
    <t>Lab.3</t>
  </si>
  <si>
    <t>RATE</t>
  </si>
  <si>
    <t>100 items</t>
  </si>
  <si>
    <t>AVE</t>
  </si>
  <si>
    <t>Rate</t>
  </si>
  <si>
    <t>SCORE</t>
  </si>
  <si>
    <t>DROPPED</t>
  </si>
  <si>
    <t>INC.</t>
  </si>
  <si>
    <t>***Nothing Follows***</t>
  </si>
  <si>
    <t>Prepared by:</t>
  </si>
  <si>
    <t>MARK B. ESCALANTE</t>
  </si>
  <si>
    <t>Instructor</t>
  </si>
  <si>
    <t>Subject: SAK101 (Sibika at Kultura)</t>
  </si>
  <si>
    <t>Course, Year and Section: BSIT I-Z</t>
  </si>
  <si>
    <t>Schedule: MTh-5:00-7:00/5:00-8:00</t>
  </si>
  <si>
    <t>DELA CRUZ, JUAN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</si>
</sst>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color rgb="FFFF0000"/>
      <name val="Arial"/>
      <family val="2"/>
    </font>
    <font>
      <i/>
      <sz val="9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EA9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29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7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top"/>
    </xf>
    <xf numFmtId="1" fontId="3" fillId="2" borderId="0" xfId="0" applyNumberFormat="1" applyFont="1" applyFill="1" applyAlignment="1">
      <alignment horizontal="center"/>
    </xf>
    <xf numFmtId="2" fontId="3" fillId="2" borderId="0" xfId="0" applyNumberFormat="1" applyFont="1" applyFill="1"/>
    <xf numFmtId="1" fontId="3" fillId="2" borderId="0" xfId="0" applyNumberFormat="1" applyFont="1" applyFill="1"/>
    <xf numFmtId="1" fontId="3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51" xfId="0" applyFont="1" applyFill="1" applyBorder="1" applyAlignment="1">
      <alignment horizontal="center" vertical="center" textRotation="90" wrapText="1"/>
    </xf>
    <xf numFmtId="0" fontId="3" fillId="5" borderId="52" xfId="0" applyFont="1" applyFill="1" applyBorder="1" applyAlignment="1">
      <alignment horizontal="center" vertical="center" textRotation="90" wrapText="1"/>
    </xf>
    <xf numFmtId="0" fontId="3" fillId="5" borderId="53" xfId="0" applyFont="1" applyFill="1" applyBorder="1" applyAlignment="1">
      <alignment horizontal="center" vertical="center" textRotation="90" wrapText="1"/>
    </xf>
    <xf numFmtId="0" fontId="3" fillId="6" borderId="55" xfId="0" applyFont="1" applyFill="1" applyBorder="1" applyAlignment="1">
      <alignment vertical="center" textRotation="90" wrapText="1"/>
    </xf>
    <xf numFmtId="0" fontId="3" fillId="6" borderId="52" xfId="0" applyFont="1" applyFill="1" applyBorder="1" applyAlignment="1">
      <alignment horizontal="center" vertical="center" textRotation="90" wrapText="1"/>
    </xf>
    <xf numFmtId="0" fontId="3" fillId="7" borderId="51" xfId="0" applyFont="1" applyFill="1" applyBorder="1" applyAlignment="1">
      <alignment vertical="center" textRotation="90" wrapText="1"/>
    </xf>
    <xf numFmtId="0" fontId="3" fillId="7" borderId="53" xfId="0" applyFont="1" applyFill="1" applyBorder="1" applyAlignment="1">
      <alignment vertical="center" textRotation="90" wrapText="1"/>
    </xf>
    <xf numFmtId="0" fontId="3" fillId="7" borderId="56" xfId="0" applyFont="1" applyFill="1" applyBorder="1" applyAlignment="1">
      <alignment vertical="center" textRotation="90" wrapText="1"/>
    </xf>
    <xf numFmtId="0" fontId="3" fillId="9" borderId="51" xfId="0" applyFont="1" applyFill="1" applyBorder="1" applyAlignment="1">
      <alignment horizontal="center" vertical="center" textRotation="90" wrapText="1"/>
    </xf>
    <xf numFmtId="0" fontId="3" fillId="9" borderId="53" xfId="0" applyFont="1" applyFill="1" applyBorder="1" applyAlignment="1">
      <alignment horizontal="center" vertical="center" textRotation="90" wrapText="1"/>
    </xf>
    <xf numFmtId="0" fontId="3" fillId="5" borderId="61" xfId="0" applyFont="1" applyFill="1" applyBorder="1" applyAlignment="1">
      <alignment horizontal="center" vertical="center" textRotation="90" wrapText="1"/>
    </xf>
    <xf numFmtId="0" fontId="3" fillId="9" borderId="57" xfId="0" applyFont="1" applyFill="1" applyBorder="1" applyAlignment="1">
      <alignment horizontal="center" vertical="center" textRotation="90" wrapText="1"/>
    </xf>
    <xf numFmtId="0" fontId="3" fillId="9" borderId="52" xfId="0" applyFont="1" applyFill="1" applyBorder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0" fillId="0" borderId="1" xfId="1" applyFont="1" applyBorder="1"/>
    <xf numFmtId="1" fontId="8" fillId="16" borderId="46" xfId="0" applyNumberFormat="1" applyFont="1" applyFill="1" applyBorder="1" applyAlignment="1">
      <alignment horizontal="center"/>
    </xf>
    <xf numFmtId="1" fontId="11" fillId="16" borderId="62" xfId="0" applyNumberFormat="1" applyFont="1" applyFill="1" applyBorder="1" applyAlignment="1">
      <alignment horizontal="center"/>
    </xf>
    <xf numFmtId="0" fontId="8" fillId="16" borderId="62" xfId="0" applyFont="1" applyFill="1" applyBorder="1" applyAlignment="1">
      <alignment horizontal="center"/>
    </xf>
    <xf numFmtId="1" fontId="3" fillId="16" borderId="62" xfId="0" applyNumberFormat="1" applyFont="1" applyFill="1" applyBorder="1" applyAlignment="1">
      <alignment horizontal="center"/>
    </xf>
    <xf numFmtId="0" fontId="2" fillId="16" borderId="48" xfId="0" applyFont="1" applyFill="1" applyBorder="1" applyAlignment="1">
      <alignment horizontal="center"/>
    </xf>
    <xf numFmtId="0" fontId="3" fillId="17" borderId="32" xfId="0" applyFont="1" applyFill="1" applyBorder="1" applyAlignment="1">
      <alignment horizontal="center"/>
    </xf>
    <xf numFmtId="1" fontId="11" fillId="17" borderId="21" xfId="0" applyNumberFormat="1" applyFont="1" applyFill="1" applyBorder="1" applyAlignment="1">
      <alignment horizontal="center"/>
    </xf>
    <xf numFmtId="0" fontId="3" fillId="17" borderId="21" xfId="0" applyFont="1" applyFill="1" applyBorder="1" applyAlignment="1">
      <alignment horizontal="center"/>
    </xf>
    <xf numFmtId="1" fontId="3" fillId="17" borderId="21" xfId="0" applyNumberFormat="1" applyFont="1" applyFill="1" applyBorder="1" applyAlignment="1">
      <alignment horizontal="center"/>
    </xf>
    <xf numFmtId="164" fontId="2" fillId="17" borderId="33" xfId="0" applyNumberFormat="1" applyFont="1" applyFill="1" applyBorder="1" applyAlignment="1">
      <alignment horizontal="center"/>
    </xf>
    <xf numFmtId="0" fontId="3" fillId="18" borderId="46" xfId="0" applyFont="1" applyFill="1" applyBorder="1" applyAlignment="1">
      <alignment horizontal="center"/>
    </xf>
    <xf numFmtId="1" fontId="11" fillId="18" borderId="62" xfId="0" applyNumberFormat="1" applyFont="1" applyFill="1" applyBorder="1" applyAlignment="1">
      <alignment horizontal="center"/>
    </xf>
    <xf numFmtId="0" fontId="3" fillId="18" borderId="62" xfId="0" applyFont="1" applyFill="1" applyBorder="1" applyAlignment="1">
      <alignment horizontal="center"/>
    </xf>
    <xf numFmtId="1" fontId="3" fillId="18" borderId="62" xfId="0" applyNumberFormat="1" applyFont="1" applyFill="1" applyBorder="1" applyAlignment="1">
      <alignment horizontal="center"/>
    </xf>
    <xf numFmtId="164" fontId="2" fillId="18" borderId="48" xfId="0" applyNumberFormat="1" applyFont="1" applyFill="1" applyBorder="1" applyAlignment="1">
      <alignment horizontal="center"/>
    </xf>
    <xf numFmtId="0" fontId="3" fillId="19" borderId="32" xfId="0" applyFont="1" applyFill="1" applyBorder="1" applyAlignment="1">
      <alignment horizontal="center"/>
    </xf>
    <xf numFmtId="164" fontId="2" fillId="19" borderId="33" xfId="0" applyNumberFormat="1" applyFont="1" applyFill="1" applyBorder="1" applyAlignment="1">
      <alignment horizontal="center"/>
    </xf>
    <xf numFmtId="0" fontId="3" fillId="20" borderId="46" xfId="0" applyFont="1" applyFill="1" applyBorder="1" applyAlignment="1">
      <alignment horizontal="center"/>
    </xf>
    <xf numFmtId="1" fontId="3" fillId="20" borderId="62" xfId="0" applyNumberFormat="1" applyFont="1" applyFill="1" applyBorder="1" applyAlignment="1">
      <alignment horizontal="center"/>
    </xf>
    <xf numFmtId="164" fontId="2" fillId="20" borderId="27" xfId="0" applyNumberFormat="1" applyFont="1" applyFill="1" applyBorder="1" applyAlignment="1">
      <alignment horizontal="center"/>
    </xf>
    <xf numFmtId="1" fontId="3" fillId="10" borderId="29" xfId="0" applyNumberFormat="1" applyFont="1" applyFill="1" applyBorder="1" applyAlignment="1">
      <alignment horizontal="center"/>
    </xf>
    <xf numFmtId="164" fontId="3" fillId="11" borderId="29" xfId="0" applyNumberFormat="1" applyFont="1" applyFill="1" applyBorder="1" applyAlignment="1">
      <alignment horizontal="center"/>
    </xf>
    <xf numFmtId="164" fontId="2" fillId="14" borderId="29" xfId="0" applyNumberFormat="1" applyFont="1" applyFill="1" applyBorder="1" applyAlignment="1">
      <alignment horizontal="center"/>
    </xf>
    <xf numFmtId="0" fontId="8" fillId="16" borderId="32" xfId="0" applyFont="1" applyFill="1" applyBorder="1" applyAlignment="1">
      <alignment horizontal="center"/>
    </xf>
    <xf numFmtId="1" fontId="11" fillId="16" borderId="21" xfId="0" applyNumberFormat="1" applyFont="1" applyFill="1" applyBorder="1" applyAlignment="1">
      <alignment horizontal="center"/>
    </xf>
    <xf numFmtId="0" fontId="3" fillId="16" borderId="21" xfId="0" applyFont="1" applyFill="1" applyBorder="1" applyAlignment="1">
      <alignment horizontal="center"/>
    </xf>
    <xf numFmtId="1" fontId="3" fillId="16" borderId="21" xfId="0" applyNumberFormat="1" applyFont="1" applyFill="1" applyBorder="1" applyAlignment="1">
      <alignment horizontal="center"/>
    </xf>
    <xf numFmtId="164" fontId="2" fillId="16" borderId="33" xfId="0" applyNumberFormat="1" applyFont="1" applyFill="1" applyBorder="1" applyAlignment="1">
      <alignment horizontal="center"/>
    </xf>
    <xf numFmtId="0" fontId="3" fillId="17" borderId="23" xfId="0" applyFont="1" applyFill="1" applyBorder="1" applyAlignment="1">
      <alignment horizontal="center"/>
    </xf>
    <xf numFmtId="1" fontId="11" fillId="17" borderId="23" xfId="0" applyNumberFormat="1" applyFont="1" applyFill="1" applyBorder="1" applyAlignment="1">
      <alignment horizontal="center"/>
    </xf>
    <xf numFmtId="1" fontId="11" fillId="17" borderId="24" xfId="0" applyNumberFormat="1" applyFont="1" applyFill="1" applyBorder="1" applyAlignment="1">
      <alignment horizontal="center"/>
    </xf>
    <xf numFmtId="0" fontId="3" fillId="18" borderId="63" xfId="0" applyFont="1" applyFill="1" applyBorder="1" applyAlignment="1">
      <alignment horizontal="center"/>
    </xf>
    <xf numFmtId="164" fontId="3" fillId="18" borderId="48" xfId="0" applyNumberFormat="1" applyFont="1" applyFill="1" applyBorder="1" applyAlignment="1">
      <alignment horizontal="center"/>
    </xf>
    <xf numFmtId="0" fontId="3" fillId="21" borderId="32" xfId="0" applyFont="1" applyFill="1" applyBorder="1" applyAlignment="1">
      <alignment horizontal="center"/>
    </xf>
    <xf numFmtId="164" fontId="2" fillId="21" borderId="33" xfId="0" applyNumberFormat="1" applyFont="1" applyFill="1" applyBorder="1" applyAlignment="1">
      <alignment horizontal="center"/>
    </xf>
    <xf numFmtId="0" fontId="3" fillId="20" borderId="23" xfId="0" applyFont="1" applyFill="1" applyBorder="1" applyAlignment="1">
      <alignment horizontal="center"/>
    </xf>
    <xf numFmtId="1" fontId="3" fillId="20" borderId="21" xfId="0" applyNumberFormat="1" applyFont="1" applyFill="1" applyBorder="1" applyAlignment="1">
      <alignment horizontal="center"/>
    </xf>
    <xf numFmtId="164" fontId="2" fillId="20" borderId="33" xfId="0" applyNumberFormat="1" applyFont="1" applyFill="1" applyBorder="1" applyAlignment="1">
      <alignment horizontal="center"/>
    </xf>
    <xf numFmtId="1" fontId="3" fillId="10" borderId="47" xfId="0" applyNumberFormat="1" applyFont="1" applyFill="1" applyBorder="1" applyAlignment="1">
      <alignment horizontal="center"/>
    </xf>
    <xf numFmtId="164" fontId="3" fillId="11" borderId="1" xfId="0" applyNumberFormat="1" applyFont="1" applyFill="1" applyBorder="1" applyAlignment="1">
      <alignment horizontal="center" wrapText="1"/>
    </xf>
    <xf numFmtId="1" fontId="2" fillId="13" borderId="47" xfId="0" applyNumberFormat="1" applyFont="1" applyFill="1" applyBorder="1" applyAlignment="1">
      <alignment horizontal="center"/>
    </xf>
    <xf numFmtId="164" fontId="2" fillId="14" borderId="1" xfId="0" applyNumberFormat="1" applyFont="1" applyFill="1" applyBorder="1" applyAlignment="1">
      <alignment horizontal="center"/>
    </xf>
    <xf numFmtId="0" fontId="3" fillId="20" borderId="6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/>
    </xf>
    <xf numFmtId="0" fontId="10" fillId="0" borderId="19" xfId="1" applyFont="1" applyBorder="1"/>
    <xf numFmtId="1" fontId="3" fillId="16" borderId="37" xfId="0" applyNumberFormat="1" applyFont="1" applyFill="1" applyBorder="1" applyAlignment="1">
      <alignment horizontal="center"/>
    </xf>
    <xf numFmtId="1" fontId="11" fillId="16" borderId="40" xfId="0" applyNumberFormat="1" applyFont="1" applyFill="1" applyBorder="1" applyAlignment="1">
      <alignment horizontal="center"/>
    </xf>
    <xf numFmtId="0" fontId="3" fillId="16" borderId="40" xfId="0" applyFont="1" applyFill="1" applyBorder="1" applyAlignment="1">
      <alignment horizontal="center"/>
    </xf>
    <xf numFmtId="0" fontId="3" fillId="17" borderId="39" xfId="0" applyFont="1" applyFill="1" applyBorder="1" applyAlignment="1">
      <alignment horizontal="center"/>
    </xf>
    <xf numFmtId="1" fontId="11" fillId="17" borderId="40" xfId="0" applyNumberFormat="1" applyFont="1" applyFill="1" applyBorder="1" applyAlignment="1">
      <alignment horizontal="center"/>
    </xf>
    <xf numFmtId="0" fontId="3" fillId="17" borderId="40" xfId="0" applyFont="1" applyFill="1" applyBorder="1" applyAlignment="1">
      <alignment horizontal="center"/>
    </xf>
    <xf numFmtId="1" fontId="3" fillId="17" borderId="62" xfId="0" applyNumberFormat="1" applyFont="1" applyFill="1" applyBorder="1" applyAlignment="1">
      <alignment horizontal="center"/>
    </xf>
    <xf numFmtId="1" fontId="3" fillId="17" borderId="40" xfId="0" applyNumberFormat="1" applyFont="1" applyFill="1" applyBorder="1" applyAlignment="1">
      <alignment horizontal="center"/>
    </xf>
    <xf numFmtId="164" fontId="2" fillId="17" borderId="44" xfId="0" applyNumberFormat="1" applyFont="1" applyFill="1" applyBorder="1" applyAlignment="1">
      <alignment horizontal="center"/>
    </xf>
    <xf numFmtId="0" fontId="3" fillId="18" borderId="37" xfId="0" applyFont="1" applyFill="1" applyBorder="1" applyAlignment="1">
      <alignment horizontal="center"/>
    </xf>
    <xf numFmtId="164" fontId="2" fillId="18" borderId="42" xfId="0" applyNumberFormat="1" applyFont="1" applyFill="1" applyBorder="1" applyAlignment="1">
      <alignment horizontal="center"/>
    </xf>
    <xf numFmtId="0" fontId="3" fillId="19" borderId="39" xfId="0" applyFont="1" applyFill="1" applyBorder="1" applyAlignment="1">
      <alignment horizontal="center"/>
    </xf>
    <xf numFmtId="164" fontId="2" fillId="19" borderId="27" xfId="0" applyNumberFormat="1" applyFont="1" applyFill="1" applyBorder="1" applyAlignment="1">
      <alignment horizontal="center"/>
    </xf>
    <xf numFmtId="0" fontId="3" fillId="20" borderId="37" xfId="0" applyFont="1" applyFill="1" applyBorder="1" applyAlignment="1">
      <alignment horizontal="center"/>
    </xf>
    <xf numFmtId="0" fontId="3" fillId="16" borderId="63" xfId="0" applyFont="1" applyFill="1" applyBorder="1" applyAlignment="1">
      <alignment horizontal="center"/>
    </xf>
    <xf numFmtId="1" fontId="3" fillId="16" borderId="40" xfId="0" applyNumberFormat="1" applyFont="1" applyFill="1" applyBorder="1" applyAlignment="1">
      <alignment horizontal="center"/>
    </xf>
    <xf numFmtId="164" fontId="2" fillId="16" borderId="27" xfId="0" applyNumberFormat="1" applyFont="1" applyFill="1" applyBorder="1" applyAlignment="1">
      <alignment horizontal="center"/>
    </xf>
    <xf numFmtId="0" fontId="3" fillId="17" borderId="37" xfId="0" applyFont="1" applyFill="1" applyBorder="1" applyAlignment="1">
      <alignment horizontal="center"/>
    </xf>
    <xf numFmtId="1" fontId="11" fillId="17" borderId="37" xfId="0" applyNumberFormat="1" applyFont="1" applyFill="1" applyBorder="1" applyAlignment="1">
      <alignment horizontal="center"/>
    </xf>
    <xf numFmtId="1" fontId="11" fillId="17" borderId="42" xfId="0" applyNumberFormat="1" applyFont="1" applyFill="1" applyBorder="1" applyAlignment="1">
      <alignment horizontal="center"/>
    </xf>
    <xf numFmtId="0" fontId="3" fillId="18" borderId="39" xfId="0" applyFont="1" applyFill="1" applyBorder="1" applyAlignment="1">
      <alignment horizontal="center"/>
    </xf>
    <xf numFmtId="0" fontId="3" fillId="21" borderId="39" xfId="0" applyFont="1" applyFill="1" applyBorder="1" applyAlignment="1">
      <alignment horizontal="center"/>
    </xf>
    <xf numFmtId="164" fontId="2" fillId="21" borderId="27" xfId="0" applyNumberFormat="1" applyFont="1" applyFill="1" applyBorder="1" applyAlignment="1">
      <alignment horizontal="center"/>
    </xf>
    <xf numFmtId="1" fontId="3" fillId="20" borderId="40" xfId="0" applyNumberFormat="1" applyFont="1" applyFill="1" applyBorder="1" applyAlignment="1">
      <alignment horizontal="center"/>
    </xf>
    <xf numFmtId="164" fontId="2" fillId="20" borderId="44" xfId="0" applyNumberFormat="1" applyFont="1" applyFill="1" applyBorder="1" applyAlignment="1">
      <alignment horizontal="center"/>
    </xf>
    <xf numFmtId="164" fontId="3" fillId="11" borderId="19" xfId="0" applyNumberFormat="1" applyFont="1" applyFill="1" applyBorder="1" applyAlignment="1">
      <alignment horizontal="center" wrapText="1"/>
    </xf>
    <xf numFmtId="1" fontId="2" fillId="13" borderId="65" xfId="0" applyNumberFormat="1" applyFont="1" applyFill="1" applyBorder="1" applyAlignment="1">
      <alignment horizontal="center"/>
    </xf>
    <xf numFmtId="164" fontId="2" fillId="14" borderId="19" xfId="0" applyNumberFormat="1" applyFont="1" applyFill="1" applyBorder="1" applyAlignment="1">
      <alignment horizontal="center"/>
    </xf>
    <xf numFmtId="0" fontId="3" fillId="0" borderId="0" xfId="0" applyFont="1"/>
    <xf numFmtId="0" fontId="11" fillId="20" borderId="64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" fillId="16" borderId="66" xfId="0" applyFont="1" applyFill="1" applyBorder="1" applyAlignment="1">
      <alignment horizontal="center" wrapText="1"/>
    </xf>
    <xf numFmtId="1" fontId="3" fillId="16" borderId="53" xfId="0" applyNumberFormat="1" applyFont="1" applyFill="1" applyBorder="1" applyAlignment="1">
      <alignment horizontal="center"/>
    </xf>
    <xf numFmtId="0" fontId="3" fillId="16" borderId="53" xfId="0" applyFont="1" applyFill="1" applyBorder="1" applyAlignment="1">
      <alignment horizontal="center"/>
    </xf>
    <xf numFmtId="1" fontId="3" fillId="16" borderId="56" xfId="0" applyNumberFormat="1" applyFont="1" applyFill="1" applyBorder="1" applyAlignment="1">
      <alignment horizontal="center"/>
    </xf>
    <xf numFmtId="0" fontId="3" fillId="17" borderId="51" xfId="0" applyFont="1" applyFill="1" applyBorder="1" applyAlignment="1">
      <alignment horizontal="center"/>
    </xf>
    <xf numFmtId="1" fontId="3" fillId="17" borderId="53" xfId="0" applyNumberFormat="1" applyFont="1" applyFill="1" applyBorder="1" applyAlignment="1">
      <alignment horizontal="center"/>
    </xf>
    <xf numFmtId="0" fontId="3" fillId="17" borderId="53" xfId="0" applyFont="1" applyFill="1" applyBorder="1" applyAlignment="1">
      <alignment horizontal="center"/>
    </xf>
    <xf numFmtId="0" fontId="3" fillId="17" borderId="54" xfId="0" applyFont="1" applyFill="1" applyBorder="1" applyAlignment="1">
      <alignment horizontal="center"/>
    </xf>
    <xf numFmtId="0" fontId="3" fillId="18" borderId="66" xfId="0" applyFont="1" applyFill="1" applyBorder="1" applyAlignment="1">
      <alignment horizontal="center"/>
    </xf>
    <xf numFmtId="0" fontId="3" fillId="18" borderId="53" xfId="0" applyFont="1" applyFill="1" applyBorder="1" applyAlignment="1">
      <alignment horizontal="center"/>
    </xf>
    <xf numFmtId="0" fontId="3" fillId="18" borderId="56" xfId="0" applyFont="1" applyFill="1" applyBorder="1" applyAlignment="1">
      <alignment horizontal="center"/>
    </xf>
    <xf numFmtId="0" fontId="3" fillId="19" borderId="51" xfId="0" applyFont="1" applyFill="1" applyBorder="1" applyAlignment="1">
      <alignment horizontal="center"/>
    </xf>
    <xf numFmtId="164" fontId="2" fillId="19" borderId="58" xfId="0" applyNumberFormat="1" applyFont="1" applyFill="1" applyBorder="1" applyAlignment="1">
      <alignment horizontal="center"/>
    </xf>
    <xf numFmtId="0" fontId="3" fillId="20" borderId="66" xfId="0" applyFont="1" applyFill="1" applyBorder="1" applyAlignment="1">
      <alignment horizontal="center"/>
    </xf>
    <xf numFmtId="2" fontId="3" fillId="20" borderId="53" xfId="0" applyNumberFormat="1" applyFont="1" applyFill="1" applyBorder="1" applyAlignment="1">
      <alignment horizontal="center"/>
    </xf>
    <xf numFmtId="2" fontId="3" fillId="20" borderId="58" xfId="0" applyNumberFormat="1" applyFont="1" applyFill="1" applyBorder="1" applyAlignment="1">
      <alignment horizontal="center"/>
    </xf>
    <xf numFmtId="1" fontId="3" fillId="10" borderId="59" xfId="0" applyNumberFormat="1" applyFont="1" applyFill="1" applyBorder="1" applyAlignment="1">
      <alignment horizontal="center"/>
    </xf>
    <xf numFmtId="2" fontId="3" fillId="11" borderId="59" xfId="0" applyNumberFormat="1" applyFont="1" applyFill="1" applyBorder="1" applyAlignment="1">
      <alignment horizontal="center"/>
    </xf>
    <xf numFmtId="0" fontId="3" fillId="14" borderId="59" xfId="0" applyFont="1" applyFill="1" applyBorder="1" applyAlignment="1">
      <alignment horizontal="center"/>
    </xf>
    <xf numFmtId="0" fontId="2" fillId="3" borderId="60" xfId="0" applyFont="1" applyFill="1" applyBorder="1" applyAlignment="1">
      <alignment horizontal="center"/>
    </xf>
    <xf numFmtId="0" fontId="3" fillId="16" borderId="51" xfId="0" applyFont="1" applyFill="1" applyBorder="1" applyAlignment="1">
      <alignment horizontal="center"/>
    </xf>
    <xf numFmtId="2" fontId="3" fillId="16" borderId="53" xfId="0" applyNumberFormat="1" applyFont="1" applyFill="1" applyBorder="1" applyAlignment="1">
      <alignment horizontal="center"/>
    </xf>
    <xf numFmtId="2" fontId="3" fillId="16" borderId="58" xfId="0" applyNumberFormat="1" applyFont="1" applyFill="1" applyBorder="1" applyAlignment="1">
      <alignment horizontal="center"/>
    </xf>
    <xf numFmtId="2" fontId="3" fillId="17" borderId="51" xfId="0" applyNumberFormat="1" applyFont="1" applyFill="1" applyBorder="1" applyAlignment="1">
      <alignment horizontal="center"/>
    </xf>
    <xf numFmtId="2" fontId="3" fillId="17" borderId="53" xfId="0" applyNumberFormat="1" applyFont="1" applyFill="1" applyBorder="1" applyAlignment="1">
      <alignment horizontal="center"/>
    </xf>
    <xf numFmtId="2" fontId="3" fillId="17" borderId="58" xfId="0" applyNumberFormat="1" applyFont="1" applyFill="1" applyBorder="1" applyAlignment="1">
      <alignment horizontal="center"/>
    </xf>
    <xf numFmtId="1" fontId="3" fillId="18" borderId="51" xfId="0" applyNumberFormat="1" applyFont="1" applyFill="1" applyBorder="1" applyAlignment="1">
      <alignment horizontal="center"/>
    </xf>
    <xf numFmtId="1" fontId="3" fillId="18" borderId="53" xfId="0" applyNumberFormat="1" applyFont="1" applyFill="1" applyBorder="1" applyAlignment="1">
      <alignment horizontal="center"/>
    </xf>
    <xf numFmtId="2" fontId="3" fillId="18" borderId="53" xfId="0" applyNumberFormat="1" applyFont="1" applyFill="1" applyBorder="1" applyAlignment="1">
      <alignment horizontal="center"/>
    </xf>
    <xf numFmtId="2" fontId="3" fillId="18" borderId="56" xfId="0" applyNumberFormat="1" applyFont="1" applyFill="1" applyBorder="1" applyAlignment="1">
      <alignment horizontal="center"/>
    </xf>
    <xf numFmtId="1" fontId="3" fillId="21" borderId="51" xfId="0" applyNumberFormat="1" applyFont="1" applyFill="1" applyBorder="1" applyAlignment="1">
      <alignment horizontal="center"/>
    </xf>
    <xf numFmtId="2" fontId="3" fillId="21" borderId="58" xfId="0" applyNumberFormat="1" applyFont="1" applyFill="1" applyBorder="1" applyAlignment="1">
      <alignment horizontal="center"/>
    </xf>
    <xf numFmtId="2" fontId="3" fillId="10" borderId="67" xfId="0" applyNumberFormat="1" applyFont="1" applyFill="1" applyBorder="1" applyAlignment="1">
      <alignment horizontal="center"/>
    </xf>
    <xf numFmtId="2" fontId="3" fillId="11" borderId="49" xfId="0" applyNumberFormat="1" applyFont="1" applyFill="1" applyBorder="1" applyAlignment="1">
      <alignment horizontal="center" wrapText="1"/>
    </xf>
    <xf numFmtId="2" fontId="3" fillId="13" borderId="67" xfId="0" applyNumberFormat="1" applyFont="1" applyFill="1" applyBorder="1" applyAlignment="1">
      <alignment horizontal="center"/>
    </xf>
    <xf numFmtId="0" fontId="3" fillId="14" borderId="49" xfId="0" applyFont="1" applyFill="1" applyBorder="1" applyAlignment="1">
      <alignment horizontal="center"/>
    </xf>
    <xf numFmtId="0" fontId="3" fillId="20" borderId="64" xfId="0" applyFont="1" applyFill="1" applyBorder="1"/>
    <xf numFmtId="2" fontId="2" fillId="2" borderId="0" xfId="0" applyNumberFormat="1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/>
    <xf numFmtId="0" fontId="14" fillId="0" borderId="0" xfId="0" applyFont="1"/>
    <xf numFmtId="0" fontId="3" fillId="2" borderId="0" xfId="0" applyFont="1" applyFill="1" applyAlignment="1">
      <alignment horizontal="left"/>
    </xf>
    <xf numFmtId="0" fontId="9" fillId="5" borderId="34" xfId="0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/>
    </xf>
    <xf numFmtId="0" fontId="9" fillId="5" borderId="46" xfId="0" applyFont="1" applyFill="1" applyBorder="1" applyAlignment="1">
      <alignment horizontal="center"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9" fillId="5" borderId="48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 wrapText="1"/>
    </xf>
    <xf numFmtId="9" fontId="2" fillId="8" borderId="33" xfId="0" applyNumberFormat="1" applyFont="1" applyFill="1" applyBorder="1" applyAlignment="1">
      <alignment horizontal="center" vertical="center" wrapText="1"/>
    </xf>
    <xf numFmtId="9" fontId="2" fillId="8" borderId="44" xfId="0" applyNumberFormat="1" applyFont="1" applyFill="1" applyBorder="1" applyAlignment="1">
      <alignment horizontal="center" vertical="center" wrapText="1"/>
    </xf>
    <xf numFmtId="9" fontId="2" fillId="8" borderId="58" xfId="0" applyNumberFormat="1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 wrapText="1"/>
    </xf>
    <xf numFmtId="0" fontId="2" fillId="9" borderId="47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9" fontId="2" fillId="9" borderId="33" xfId="0" applyNumberFormat="1" applyFont="1" applyFill="1" applyBorder="1" applyAlignment="1">
      <alignment horizontal="center" vertical="center" wrapText="1"/>
    </xf>
    <xf numFmtId="9" fontId="2" fillId="9" borderId="30" xfId="0" applyNumberFormat="1" applyFont="1" applyFill="1" applyBorder="1" applyAlignment="1">
      <alignment horizontal="center" vertical="center" wrapText="1"/>
    </xf>
    <xf numFmtId="9" fontId="2" fillId="9" borderId="58" xfId="0" applyNumberFormat="1" applyFont="1" applyFill="1" applyBorder="1" applyAlignment="1">
      <alignment horizontal="center" vertical="center" wrapText="1"/>
    </xf>
    <xf numFmtId="1" fontId="9" fillId="5" borderId="34" xfId="0" applyNumberFormat="1" applyFont="1" applyFill="1" applyBorder="1" applyAlignment="1">
      <alignment horizontal="center" vertical="center" wrapText="1"/>
    </xf>
    <xf numFmtId="1" fontId="9" fillId="5" borderId="35" xfId="0" applyNumberFormat="1" applyFont="1" applyFill="1" applyBorder="1" applyAlignment="1">
      <alignment horizontal="center" vertical="center" wrapText="1"/>
    </xf>
    <xf numFmtId="1" fontId="9" fillId="5" borderId="45" xfId="0" applyNumberFormat="1" applyFont="1" applyFill="1" applyBorder="1" applyAlignment="1">
      <alignment horizontal="center" vertical="center" wrapText="1"/>
    </xf>
    <xf numFmtId="1" fontId="9" fillId="5" borderId="46" xfId="0" applyNumberFormat="1" applyFont="1" applyFill="1" applyBorder="1" applyAlignment="1">
      <alignment horizontal="center" vertical="center" wrapText="1"/>
    </xf>
    <xf numFmtId="1" fontId="9" fillId="5" borderId="36" xfId="0" applyNumberFormat="1" applyFont="1" applyFill="1" applyBorder="1" applyAlignment="1">
      <alignment horizontal="center" vertical="center" wrapText="1"/>
    </xf>
    <xf numFmtId="1" fontId="9" fillId="5" borderId="47" xfId="0" applyNumberFormat="1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45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 wrapText="1"/>
    </xf>
    <xf numFmtId="9" fontId="3" fillId="7" borderId="22" xfId="0" applyNumberFormat="1" applyFont="1" applyFill="1" applyBorder="1" applyAlignment="1">
      <alignment horizontal="center" vertical="center" wrapText="1"/>
    </xf>
    <xf numFmtId="9" fontId="3" fillId="7" borderId="23" xfId="0" applyNumberFormat="1" applyFont="1" applyFill="1" applyBorder="1" applyAlignment="1">
      <alignment horizontal="center" vertical="center" wrapText="1"/>
    </xf>
    <xf numFmtId="9" fontId="3" fillId="7" borderId="24" xfId="0" applyNumberFormat="1" applyFont="1" applyFill="1" applyBorder="1" applyAlignment="1">
      <alignment horizontal="center" vertical="center" wrapText="1"/>
    </xf>
    <xf numFmtId="9" fontId="2" fillId="7" borderId="14" xfId="0" applyNumberFormat="1" applyFont="1" applyFill="1" applyBorder="1" applyAlignment="1">
      <alignment horizontal="center" vertical="center" wrapText="1"/>
    </xf>
    <xf numFmtId="9" fontId="2" fillId="7" borderId="41" xfId="0" applyNumberFormat="1" applyFont="1" applyFill="1" applyBorder="1" applyAlignment="1">
      <alignment horizontal="center" vertical="center" wrapText="1"/>
    </xf>
    <xf numFmtId="9" fontId="2" fillId="7" borderId="52" xfId="0" applyNumberFormat="1" applyFont="1" applyFill="1" applyBorder="1" applyAlignment="1">
      <alignment horizontal="center" vertical="center" wrapText="1"/>
    </xf>
    <xf numFmtId="9" fontId="2" fillId="7" borderId="15" xfId="0" applyNumberFormat="1" applyFont="1" applyFill="1" applyBorder="1" applyAlignment="1">
      <alignment horizontal="center" vertical="center" wrapText="1"/>
    </xf>
    <xf numFmtId="9" fontId="2" fillId="7" borderId="25" xfId="0" applyNumberFormat="1" applyFont="1" applyFill="1" applyBorder="1" applyAlignment="1">
      <alignment horizontal="center" vertical="center" wrapText="1"/>
    </xf>
    <xf numFmtId="9" fontId="2" fillId="7" borderId="54" xfId="0" applyNumberFormat="1" applyFont="1" applyFill="1" applyBorder="1" applyAlignment="1">
      <alignment horizontal="center" vertical="center" wrapText="1"/>
    </xf>
    <xf numFmtId="9" fontId="3" fillId="8" borderId="32" xfId="0" applyNumberFormat="1" applyFont="1" applyFill="1" applyBorder="1" applyAlignment="1">
      <alignment horizontal="center" vertical="center" wrapText="1"/>
    </xf>
    <xf numFmtId="9" fontId="3" fillId="8" borderId="39" xfId="0" applyNumberFormat="1" applyFont="1" applyFill="1" applyBorder="1" applyAlignment="1">
      <alignment horizontal="center" vertical="center" wrapText="1"/>
    </xf>
    <xf numFmtId="9" fontId="3" fillId="8" borderId="51" xfId="0" applyNumberFormat="1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9" fontId="2" fillId="6" borderId="24" xfId="0" applyNumberFormat="1" applyFont="1" applyFill="1" applyBorder="1" applyAlignment="1">
      <alignment horizontal="center" vertical="center" wrapText="1"/>
    </xf>
    <xf numFmtId="9" fontId="2" fillId="6" borderId="42" xfId="0" applyNumberFormat="1" applyFont="1" applyFill="1" applyBorder="1" applyAlignment="1">
      <alignment horizontal="center" vertical="center" wrapText="1"/>
    </xf>
    <xf numFmtId="9" fontId="2" fillId="6" borderId="56" xfId="0" applyNumberFormat="1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textRotation="90" wrapText="1"/>
    </xf>
    <xf numFmtId="0" fontId="3" fillId="8" borderId="57" xfId="0" applyFont="1" applyFill="1" applyBorder="1" applyAlignment="1">
      <alignment horizontal="center" vertical="center" textRotation="90" wrapText="1"/>
    </xf>
    <xf numFmtId="9" fontId="2" fillId="8" borderId="27" xfId="0" applyNumberFormat="1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textRotation="90" wrapText="1"/>
    </xf>
    <xf numFmtId="0" fontId="2" fillId="10" borderId="30" xfId="0" applyFont="1" applyFill="1" applyBorder="1" applyAlignment="1">
      <alignment horizontal="center" vertical="center" textRotation="90" wrapText="1"/>
    </xf>
    <xf numFmtId="0" fontId="2" fillId="10" borderId="59" xfId="0" applyFont="1" applyFill="1" applyBorder="1" applyAlignment="1">
      <alignment horizontal="center" vertical="center" textRotation="90" wrapText="1"/>
    </xf>
    <xf numFmtId="2" fontId="2" fillId="11" borderId="12" xfId="0" applyNumberFormat="1" applyFont="1" applyFill="1" applyBorder="1" applyAlignment="1">
      <alignment horizontal="center" vertical="center" textRotation="90" wrapText="1"/>
    </xf>
    <xf numFmtId="2" fontId="2" fillId="11" borderId="31" xfId="0" applyNumberFormat="1" applyFont="1" applyFill="1" applyBorder="1" applyAlignment="1">
      <alignment horizontal="center" vertical="center" textRotation="90" wrapText="1"/>
    </xf>
    <xf numFmtId="2" fontId="2" fillId="11" borderId="60" xfId="0" applyNumberFormat="1" applyFont="1" applyFill="1" applyBorder="1" applyAlignment="1">
      <alignment horizontal="center" vertical="center" textRotation="90" wrapText="1"/>
    </xf>
    <xf numFmtId="2" fontId="2" fillId="13" borderId="11" xfId="0" applyNumberFormat="1" applyFont="1" applyFill="1" applyBorder="1" applyAlignment="1">
      <alignment horizontal="center" vertical="center" textRotation="90" wrapText="1"/>
    </xf>
    <xf numFmtId="2" fontId="2" fillId="13" borderId="30" xfId="0" applyNumberFormat="1" applyFont="1" applyFill="1" applyBorder="1" applyAlignment="1">
      <alignment horizontal="center" vertical="center" textRotation="90" wrapText="1"/>
    </xf>
    <xf numFmtId="2" fontId="2" fillId="13" borderId="59" xfId="0" applyNumberFormat="1" applyFont="1" applyFill="1" applyBorder="1" applyAlignment="1">
      <alignment horizontal="center" vertical="center" textRotation="90" wrapText="1"/>
    </xf>
    <xf numFmtId="0" fontId="2" fillId="14" borderId="11" xfId="0" applyFont="1" applyFill="1" applyBorder="1" applyAlignment="1">
      <alignment horizontal="center" vertical="center" textRotation="90" wrapText="1"/>
    </xf>
    <xf numFmtId="0" fontId="2" fillId="14" borderId="30" xfId="0" applyFont="1" applyFill="1" applyBorder="1" applyAlignment="1">
      <alignment horizontal="center" vertical="center" textRotation="90" wrapText="1"/>
    </xf>
    <xf numFmtId="0" fontId="2" fillId="14" borderId="59" xfId="0" applyFont="1" applyFill="1" applyBorder="1" applyAlignment="1">
      <alignment horizontal="center" vertical="center" textRotation="90" wrapText="1"/>
    </xf>
    <xf numFmtId="0" fontId="2" fillId="15" borderId="12" xfId="0" applyFont="1" applyFill="1" applyBorder="1" applyAlignment="1">
      <alignment horizontal="center" vertical="center" textRotation="90" wrapText="1"/>
    </xf>
    <xf numFmtId="0" fontId="2" fillId="15" borderId="31" xfId="0" applyFont="1" applyFill="1" applyBorder="1" applyAlignment="1">
      <alignment horizontal="center" vertical="center" textRotation="90" wrapText="1"/>
    </xf>
    <xf numFmtId="0" fontId="2" fillId="15" borderId="60" xfId="0" applyFont="1" applyFill="1" applyBorder="1" applyAlignment="1">
      <alignment horizontal="center" vertical="center" textRotation="90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37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9" fontId="2" fillId="5" borderId="15" xfId="0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54" xfId="0" applyBorder="1"/>
    <xf numFmtId="0" fontId="2" fillId="4" borderId="1" xfId="0" applyFont="1" applyFill="1" applyBorder="1" applyAlignment="1">
      <alignment horizontal="center" vertical="center" wrapText="1"/>
    </xf>
    <xf numFmtId="0" fontId="8" fillId="4" borderId="19" xfId="0" applyFont="1" applyFill="1" applyBorder="1"/>
    <xf numFmtId="0" fontId="8" fillId="4" borderId="49" xfId="0" applyFont="1" applyFill="1" applyBorder="1"/>
    <xf numFmtId="0" fontId="2" fillId="5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9" fontId="2" fillId="5" borderId="25" xfId="0" applyNumberFormat="1" applyFont="1" applyFill="1" applyBorder="1" applyAlignment="1">
      <alignment horizontal="center" vertical="center" wrapText="1"/>
    </xf>
    <xf numFmtId="9" fontId="2" fillId="5" borderId="54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" fontId="2" fillId="10" borderId="11" xfId="0" applyNumberFormat="1" applyFont="1" applyFill="1" applyBorder="1" applyAlignment="1">
      <alignment horizontal="center" vertical="center" textRotation="90" wrapText="1"/>
    </xf>
    <xf numFmtId="1" fontId="2" fillId="10" borderId="30" xfId="0" applyNumberFormat="1" applyFont="1" applyFill="1" applyBorder="1" applyAlignment="1">
      <alignment horizontal="center" vertical="center" textRotation="90" wrapText="1"/>
    </xf>
    <xf numFmtId="1" fontId="2" fillId="10" borderId="59" xfId="0" applyNumberFormat="1" applyFont="1" applyFill="1" applyBorder="1" applyAlignment="1">
      <alignment horizontal="center" vertical="center" textRotation="90" wrapText="1"/>
    </xf>
    <xf numFmtId="9" fontId="2" fillId="11" borderId="11" xfId="0" applyNumberFormat="1" applyFont="1" applyFill="1" applyBorder="1" applyAlignment="1">
      <alignment horizontal="center" vertical="center" textRotation="90" wrapText="1"/>
    </xf>
    <xf numFmtId="9" fontId="2" fillId="11" borderId="30" xfId="0" applyNumberFormat="1" applyFont="1" applyFill="1" applyBorder="1" applyAlignment="1">
      <alignment horizontal="center" vertical="center" textRotation="90" wrapText="1"/>
    </xf>
    <xf numFmtId="9" fontId="2" fillId="11" borderId="59" xfId="0" applyNumberFormat="1" applyFont="1" applyFill="1" applyBorder="1" applyAlignment="1">
      <alignment horizontal="center" vertical="center" textRotation="90" wrapText="1"/>
    </xf>
    <xf numFmtId="0" fontId="2" fillId="12" borderId="11" xfId="0" applyFont="1" applyFill="1" applyBorder="1" applyAlignment="1">
      <alignment horizontal="center" vertical="center" textRotation="90" wrapText="1"/>
    </xf>
    <xf numFmtId="0" fontId="2" fillId="12" borderId="30" xfId="0" applyFont="1" applyFill="1" applyBorder="1" applyAlignment="1">
      <alignment horizontal="center" vertical="center" textRotation="90" wrapText="1"/>
    </xf>
    <xf numFmtId="0" fontId="2" fillId="12" borderId="59" xfId="0" applyFont="1" applyFill="1" applyBorder="1" applyAlignment="1">
      <alignment horizontal="center" vertical="center" textRotation="90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9" fontId="2" fillId="9" borderId="29" xfId="0" applyNumberFormat="1" applyFont="1" applyFill="1" applyBorder="1" applyAlignment="1">
      <alignment horizontal="center" vertical="center" wrapText="1"/>
    </xf>
    <xf numFmtId="9" fontId="2" fillId="9" borderId="59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8" fillId="4" borderId="20" xfId="0" applyFont="1" applyFill="1" applyBorder="1"/>
    <xf numFmtId="0" fontId="8" fillId="4" borderId="50" xfId="0" applyFont="1" applyFill="1" applyBorder="1"/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00C22AD-42E6-4B0E-9892-83B83B66C9A7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95250</xdr:colOff>
      <xdr:row>0</xdr:row>
      <xdr:rowOff>19579</xdr:rowOff>
    </xdr:from>
    <xdr:to>
      <xdr:col>27</xdr:col>
      <xdr:colOff>59222</xdr:colOff>
      <xdr:row>3</xdr:row>
      <xdr:rowOff>131551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9A25A-61CB-4FB3-B29D-03CAA9DC56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9579"/>
          <a:ext cx="706922" cy="702522"/>
        </a:xfrm>
        <a:prstGeom prst="rect">
          <a:avLst/>
        </a:prstGeom>
        <a:noFill/>
      </xdr:spPr>
    </xdr:pic>
    <xdr:clientData/>
  </xdr:twoCellAnchor>
  <xdr:twoCellAnchor>
    <xdr:from>
      <xdr:col>3</xdr:col>
      <xdr:colOff>158751</xdr:colOff>
      <xdr:row>0</xdr:row>
      <xdr:rowOff>9525</xdr:rowOff>
    </xdr:from>
    <xdr:to>
      <xdr:col>6</xdr:col>
      <xdr:colOff>247651</xdr:colOff>
      <xdr:row>3</xdr:row>
      <xdr:rowOff>104775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B1E20F6D-1093-4755-AC1D-2B4ADB9ACB25}"/>
            </a:ext>
          </a:extLst>
        </xdr:cNvPr>
        <xdr:cNvGrpSpPr>
          <a:grpSpLocks/>
        </xdr:cNvGrpSpPr>
      </xdr:nvGrpSpPr>
      <xdr:grpSpPr bwMode="auto">
        <a:xfrm>
          <a:off x="2338734" y="9525"/>
          <a:ext cx="665369" cy="691598"/>
          <a:chOff x="2814" y="1306"/>
          <a:chExt cx="2776" cy="2844"/>
        </a:xfrm>
      </xdr:grpSpPr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753F4169-C3CE-CB16-EADA-7E736399080B}"/>
              </a:ext>
            </a:extLst>
          </xdr:cNvPr>
          <xdr:cNvSpPr>
            <a:spLocks noChangeArrowheads="1"/>
          </xdr:cNvSpPr>
        </xdr:nvSpPr>
        <xdr:spPr bwMode="auto">
          <a:xfrm>
            <a:off x="2840" y="1367"/>
            <a:ext cx="2723" cy="2733"/>
          </a:xfrm>
          <a:prstGeom prst="ellipse">
            <a:avLst/>
          </a:prstGeom>
          <a:solidFill>
            <a:srgbClr val="FFFFFF"/>
          </a:solidFill>
          <a:ln w="9525">
            <a:noFill/>
            <a:round/>
            <a:headEnd/>
            <a:tailEnd/>
          </a:ln>
        </xdr:spPr>
      </xdr:sp>
      <xdr:pic>
        <xdr:nvPicPr>
          <xdr:cNvPr id="5" name="Picture 4" descr="SSU logo copy">
            <a:extLst>
              <a:ext uri="{FF2B5EF4-FFF2-40B4-BE49-F238E27FC236}">
                <a16:creationId xmlns:a16="http://schemas.microsoft.com/office/drawing/2014/main" id="{BDDA7E98-4EF8-A9C1-B231-B1088748941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2814" y="1306"/>
            <a:ext cx="2776" cy="284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61</xdr:col>
      <xdr:colOff>390525</xdr:colOff>
      <xdr:row>0</xdr:row>
      <xdr:rowOff>38100</xdr:rowOff>
    </xdr:from>
    <xdr:to>
      <xdr:col>64</xdr:col>
      <xdr:colOff>0</xdr:colOff>
      <xdr:row>3</xdr:row>
      <xdr:rowOff>150072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F75527-63A1-418B-8C36-6975D1B604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10325" y="38100"/>
          <a:ext cx="739775" cy="702522"/>
        </a:xfrm>
        <a:prstGeom prst="rect">
          <a:avLst/>
        </a:prstGeom>
        <a:noFill/>
      </xdr:spPr>
    </xdr:pic>
    <xdr:clientData/>
  </xdr:twoCellAnchor>
  <xdr:twoCellAnchor>
    <xdr:from>
      <xdr:col>35</xdr:col>
      <xdr:colOff>1181100</xdr:colOff>
      <xdr:row>0</xdr:row>
      <xdr:rowOff>0</xdr:rowOff>
    </xdr:from>
    <xdr:to>
      <xdr:col>36</xdr:col>
      <xdr:colOff>63500</xdr:colOff>
      <xdr:row>3</xdr:row>
      <xdr:rowOff>142871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77AE552B-2FAF-420A-A6F1-E0213293A92C}"/>
            </a:ext>
          </a:extLst>
        </xdr:cNvPr>
        <xdr:cNvGrpSpPr>
          <a:grpSpLocks/>
        </xdr:cNvGrpSpPr>
      </xdr:nvGrpSpPr>
      <xdr:grpSpPr bwMode="auto">
        <a:xfrm>
          <a:off x="11855726" y="0"/>
          <a:ext cx="697948" cy="739219"/>
          <a:chOff x="2814" y="1306"/>
          <a:chExt cx="2776" cy="2844"/>
        </a:xfrm>
      </xdr:grpSpPr>
      <xdr:sp macro="" textlink="">
        <xdr:nvSpPr>
          <xdr:cNvPr id="8" name="Oval 3">
            <a:extLst>
              <a:ext uri="{FF2B5EF4-FFF2-40B4-BE49-F238E27FC236}">
                <a16:creationId xmlns:a16="http://schemas.microsoft.com/office/drawing/2014/main" id="{4BA447B8-5F84-4270-9FE1-0BE3E081681F}"/>
              </a:ext>
            </a:extLst>
          </xdr:cNvPr>
          <xdr:cNvSpPr>
            <a:spLocks noChangeArrowheads="1"/>
          </xdr:cNvSpPr>
        </xdr:nvSpPr>
        <xdr:spPr bwMode="auto">
          <a:xfrm>
            <a:off x="2840" y="1367"/>
            <a:ext cx="2723" cy="2733"/>
          </a:xfrm>
          <a:prstGeom prst="ellipse">
            <a:avLst/>
          </a:prstGeom>
          <a:solidFill>
            <a:srgbClr val="FFFFFF"/>
          </a:solidFill>
          <a:ln w="9525">
            <a:noFill/>
            <a:round/>
            <a:headEnd/>
            <a:tailEnd/>
          </a:ln>
        </xdr:spPr>
      </xdr:sp>
      <xdr:pic>
        <xdr:nvPicPr>
          <xdr:cNvPr id="9" name="Picture 4" descr="SSU logo copy">
            <a:extLst>
              <a:ext uri="{FF2B5EF4-FFF2-40B4-BE49-F238E27FC236}">
                <a16:creationId xmlns:a16="http://schemas.microsoft.com/office/drawing/2014/main" id="{7B30AFEB-8EFF-F87A-33E0-9F8A10514B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2814" y="1306"/>
            <a:ext cx="2776" cy="2844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C819-9F3F-48E3-9D74-FCD28F47200C}">
  <sheetPr>
    <pageSetUpPr fitToPage="1"/>
  </sheetPr>
  <dimension ref="A1:BY442"/>
  <sheetViews>
    <sheetView tabSelected="1" topLeftCell="H4" zoomScale="115" zoomScaleNormal="115" zoomScaleSheetLayoutView="110" zoomScalePageLayoutView="40" workbookViewId="0">
      <selection activeCell="H15" sqref="H15"/>
    </sheetView>
  </sheetViews>
  <sheetFormatPr defaultColWidth="9.21875" defaultRowHeight="11.4" x14ac:dyDescent="0.2"/>
  <cols>
    <col min="1" max="1" width="3.5546875" style="3" customWidth="1"/>
    <col min="2" max="2" width="25.44140625" style="3" customWidth="1"/>
    <col min="3" max="3" width="2.77734375" style="12" bestFit="1" customWidth="1"/>
    <col min="4" max="4" width="2.77734375" style="3" bestFit="1" customWidth="1"/>
    <col min="5" max="5" width="2.77734375" style="12" bestFit="1" customWidth="1"/>
    <col min="6" max="6" width="2.77734375" style="3" bestFit="1" customWidth="1"/>
    <col min="7" max="8" width="4.6640625" style="12" customWidth="1"/>
    <col min="9" max="9" width="2.77734375" style="12" customWidth="1"/>
    <col min="10" max="14" width="2.77734375" style="12" bestFit="1" customWidth="1"/>
    <col min="15" max="15" width="3.5546875" style="12" bestFit="1" customWidth="1"/>
    <col min="16" max="16" width="2.77734375" style="12" bestFit="1" customWidth="1"/>
    <col min="17" max="18" width="4.6640625" style="12" customWidth="1"/>
    <col min="19" max="24" width="2.77734375" style="12" bestFit="1" customWidth="1"/>
    <col min="25" max="26" width="4.6640625" style="12" customWidth="1"/>
    <col min="27" max="28" width="6" style="12" customWidth="1"/>
    <col min="29" max="29" width="5.109375" style="3" customWidth="1"/>
    <col min="30" max="30" width="5.109375" style="12" customWidth="1"/>
    <col min="31" max="31" width="5.44140625" style="12" customWidth="1"/>
    <col min="32" max="32" width="5" style="14" customWidth="1"/>
    <col min="33" max="33" width="5" style="12" customWidth="1"/>
    <col min="34" max="34" width="6" style="12" customWidth="1"/>
    <col min="35" max="35" width="4" style="12" customWidth="1"/>
    <col min="36" max="36" width="26.44140625" style="13" customWidth="1"/>
    <col min="37" max="37" width="2.77734375" style="12" customWidth="1"/>
    <col min="38" max="38" width="2.77734375" style="12" bestFit="1" customWidth="1"/>
    <col min="39" max="40" width="2.77734375" style="14" bestFit="1" customWidth="1"/>
    <col min="41" max="42" width="4.6640625" style="15" customWidth="1"/>
    <col min="43" max="43" width="2.77734375" style="17" customWidth="1"/>
    <col min="44" max="48" width="2.77734375" style="17" bestFit="1" customWidth="1"/>
    <col min="49" max="49" width="3.5546875" style="17" bestFit="1" customWidth="1"/>
    <col min="50" max="50" width="2.77734375" style="17" bestFit="1" customWidth="1"/>
    <col min="51" max="51" width="4.6640625" style="17" customWidth="1"/>
    <col min="52" max="52" width="4.6640625" style="14" customWidth="1"/>
    <col min="53" max="53" width="2.77734375" style="14" customWidth="1"/>
    <col min="54" max="58" width="2.77734375" style="14" bestFit="1" customWidth="1"/>
    <col min="59" max="60" width="4.77734375" style="14" customWidth="1"/>
    <col min="61" max="61" width="6" style="14" customWidth="1"/>
    <col min="62" max="62" width="6" style="3" customWidth="1"/>
    <col min="63" max="63" width="5.109375" style="12" customWidth="1"/>
    <col min="64" max="64" width="5.109375" style="18" customWidth="1"/>
    <col min="65" max="65" width="5.44140625" style="18" customWidth="1"/>
    <col min="66" max="66" width="5" style="12" customWidth="1"/>
    <col min="67" max="67" width="5" style="19" customWidth="1"/>
    <col min="68" max="68" width="5.88671875" style="18" customWidth="1"/>
    <col min="69" max="69" width="6.6640625" style="12" customWidth="1"/>
    <col min="70" max="70" width="8.88671875" style="12" bestFit="1" customWidth="1"/>
    <col min="71" max="16384" width="9.21875" style="3"/>
  </cols>
  <sheetData>
    <row r="1" spans="1:77" ht="15.6" x14ac:dyDescent="0.3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 t="s">
        <v>0</v>
      </c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276"/>
      <c r="BQ1" s="276"/>
      <c r="BR1" s="2"/>
    </row>
    <row r="2" spans="1:77" ht="15.6" x14ac:dyDescent="0.3">
      <c r="A2" s="276" t="s">
        <v>1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 t="s">
        <v>1</v>
      </c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H2" s="276"/>
      <c r="BI2" s="276"/>
      <c r="BJ2" s="276"/>
      <c r="BK2" s="276"/>
      <c r="BL2" s="276"/>
      <c r="BM2" s="276"/>
      <c r="BN2" s="276"/>
      <c r="BO2" s="276"/>
      <c r="BP2" s="276"/>
      <c r="BQ2" s="276"/>
      <c r="BR2" s="2"/>
    </row>
    <row r="3" spans="1:77" ht="15.6" x14ac:dyDescent="0.3">
      <c r="A3" s="276" t="s">
        <v>2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6"/>
      <c r="AG3" s="276"/>
      <c r="AH3" s="276"/>
      <c r="AI3" s="276" t="s">
        <v>2</v>
      </c>
      <c r="AJ3" s="276"/>
      <c r="AK3" s="276"/>
      <c r="AL3" s="276"/>
      <c r="AM3" s="276"/>
      <c r="AN3" s="276"/>
      <c r="AO3" s="276"/>
      <c r="AP3" s="276"/>
      <c r="AQ3" s="276"/>
      <c r="AR3" s="276"/>
      <c r="AS3" s="276"/>
      <c r="AT3" s="276"/>
      <c r="AU3" s="276"/>
      <c r="AV3" s="276"/>
      <c r="AW3" s="276"/>
      <c r="AX3" s="276"/>
      <c r="AY3" s="276"/>
      <c r="AZ3" s="276"/>
      <c r="BA3" s="276"/>
      <c r="BB3" s="276"/>
      <c r="BC3" s="276"/>
      <c r="BD3" s="276"/>
      <c r="BE3" s="276"/>
      <c r="BF3" s="276"/>
      <c r="BG3" s="276"/>
      <c r="BH3" s="276"/>
      <c r="BI3" s="276"/>
      <c r="BJ3" s="276"/>
      <c r="BK3" s="276"/>
      <c r="BL3" s="276"/>
      <c r="BM3" s="276"/>
      <c r="BN3" s="276"/>
      <c r="BO3" s="276"/>
      <c r="BP3" s="276"/>
      <c r="BQ3" s="276"/>
      <c r="BR3" s="2"/>
    </row>
    <row r="4" spans="1:77" ht="15.6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2"/>
    </row>
    <row r="5" spans="1:77" ht="15.6" x14ac:dyDescent="0.3">
      <c r="A5" s="276" t="s">
        <v>3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 t="s">
        <v>4</v>
      </c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6"/>
      <c r="BL5" s="276"/>
      <c r="BM5" s="276"/>
      <c r="BN5" s="276"/>
      <c r="BO5" s="276"/>
      <c r="BP5" s="276"/>
      <c r="BQ5" s="276"/>
      <c r="BR5" s="2"/>
    </row>
    <row r="6" spans="1:77" ht="15.6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2"/>
    </row>
    <row r="7" spans="1:77" s="7" customFormat="1" ht="15" x14ac:dyDescent="0.25">
      <c r="A7" s="4" t="s">
        <v>5</v>
      </c>
      <c r="B7" s="5"/>
      <c r="C7" s="5"/>
      <c r="D7" s="5"/>
      <c r="E7" s="5"/>
      <c r="F7" s="5"/>
      <c r="G7" s="6"/>
      <c r="I7" s="4" t="s">
        <v>44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8" t="s">
        <v>6</v>
      </c>
      <c r="AC7" s="8"/>
      <c r="AD7" s="4"/>
      <c r="AH7" s="5"/>
      <c r="AI7" s="4" t="s">
        <v>5</v>
      </c>
      <c r="AJ7" s="5"/>
      <c r="AK7" s="5"/>
      <c r="AL7" s="5"/>
      <c r="AM7" s="5"/>
      <c r="AN7" s="5"/>
      <c r="AO7" s="6"/>
      <c r="AP7" s="4" t="s">
        <v>44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8" t="s">
        <v>6</v>
      </c>
      <c r="BK7" s="8"/>
      <c r="BL7" s="4"/>
      <c r="BN7" s="4"/>
      <c r="BO7" s="4"/>
      <c r="BP7" s="8"/>
      <c r="BQ7" s="8"/>
      <c r="BR7" s="8"/>
      <c r="BS7" s="8"/>
      <c r="BT7" s="4"/>
      <c r="BU7" s="5"/>
      <c r="BV7" s="4"/>
      <c r="BW7" s="4"/>
      <c r="BX7" s="9"/>
      <c r="BY7" s="9"/>
    </row>
    <row r="8" spans="1:77" s="7" customFormat="1" ht="17.25" customHeight="1" x14ac:dyDescent="0.25">
      <c r="A8" s="4" t="s">
        <v>43</v>
      </c>
      <c r="B8" s="4"/>
      <c r="C8" s="4"/>
      <c r="D8" s="4"/>
      <c r="E8" s="4"/>
      <c r="F8" s="4"/>
      <c r="G8" s="6"/>
      <c r="I8" s="8" t="s">
        <v>45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B8" s="277" t="s">
        <v>7</v>
      </c>
      <c r="AC8" s="277"/>
      <c r="AD8" s="277"/>
      <c r="AE8" s="277"/>
      <c r="AF8" s="10"/>
      <c r="AG8" s="10"/>
      <c r="AH8" s="10"/>
      <c r="AI8" s="4" t="s">
        <v>43</v>
      </c>
      <c r="AJ8" s="4"/>
      <c r="AK8" s="4"/>
      <c r="AL8" s="4"/>
      <c r="AM8" s="4"/>
      <c r="AN8" s="4"/>
      <c r="AO8" s="6"/>
      <c r="AP8" s="8" t="s">
        <v>45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J8" s="277" t="s">
        <v>7</v>
      </c>
      <c r="BK8" s="277"/>
      <c r="BL8" s="277"/>
      <c r="BM8" s="277"/>
      <c r="BN8" s="8"/>
      <c r="BO8" s="10"/>
      <c r="BP8" s="10"/>
      <c r="BQ8" s="10"/>
      <c r="BR8" s="10"/>
      <c r="BS8" s="10"/>
      <c r="BT8" s="277"/>
      <c r="BU8" s="277"/>
      <c r="BV8" s="277"/>
      <c r="BW8" s="277"/>
      <c r="BX8" s="11"/>
      <c r="BY8" s="11"/>
    </row>
    <row r="9" spans="1:77" ht="12" thickBot="1" x14ac:dyDescent="0.25">
      <c r="A9" s="12"/>
      <c r="B9" s="13"/>
      <c r="D9" s="12"/>
      <c r="E9" s="14"/>
      <c r="F9" s="14"/>
      <c r="G9" s="15"/>
      <c r="H9" s="15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6"/>
    </row>
    <row r="10" spans="1:77" s="20" customFormat="1" ht="42.75" customHeight="1" thickBot="1" x14ac:dyDescent="0.25">
      <c r="A10" s="278" t="s">
        <v>8</v>
      </c>
      <c r="B10" s="239" t="s">
        <v>9</v>
      </c>
      <c r="C10" s="283" t="s">
        <v>10</v>
      </c>
      <c r="D10" s="284"/>
      <c r="E10" s="284"/>
      <c r="F10" s="284"/>
      <c r="G10" s="284"/>
      <c r="H10" s="285"/>
      <c r="I10" s="286" t="s">
        <v>11</v>
      </c>
      <c r="J10" s="287"/>
      <c r="K10" s="287"/>
      <c r="L10" s="287"/>
      <c r="M10" s="287"/>
      <c r="N10" s="287"/>
      <c r="O10" s="287"/>
      <c r="P10" s="287"/>
      <c r="Q10" s="287"/>
      <c r="R10" s="288"/>
      <c r="S10" s="244" t="s">
        <v>12</v>
      </c>
      <c r="T10" s="245"/>
      <c r="U10" s="245"/>
      <c r="V10" s="245"/>
      <c r="W10" s="245"/>
      <c r="X10" s="245"/>
      <c r="Y10" s="289"/>
      <c r="Z10" s="290"/>
      <c r="AA10" s="255" t="s">
        <v>13</v>
      </c>
      <c r="AB10" s="256"/>
      <c r="AC10" s="257" t="s">
        <v>14</v>
      </c>
      <c r="AD10" s="258"/>
      <c r="AE10" s="259"/>
      <c r="AF10" s="260" t="s">
        <v>3</v>
      </c>
      <c r="AG10" s="263" t="s">
        <v>15</v>
      </c>
      <c r="AH10" s="266" t="s">
        <v>3</v>
      </c>
      <c r="AI10" s="269" t="s">
        <v>8</v>
      </c>
      <c r="AJ10" s="239" t="s">
        <v>9</v>
      </c>
      <c r="AK10" s="231" t="s">
        <v>10</v>
      </c>
      <c r="AL10" s="232"/>
      <c r="AM10" s="232"/>
      <c r="AN10" s="232"/>
      <c r="AO10" s="232"/>
      <c r="AP10" s="242"/>
      <c r="AQ10" s="207" t="s">
        <v>11</v>
      </c>
      <c r="AR10" s="243"/>
      <c r="AS10" s="243"/>
      <c r="AT10" s="243"/>
      <c r="AU10" s="243"/>
      <c r="AV10" s="243"/>
      <c r="AW10" s="243"/>
      <c r="AX10" s="243"/>
      <c r="AY10" s="243"/>
      <c r="AZ10" s="243"/>
      <c r="BA10" s="244" t="s">
        <v>12</v>
      </c>
      <c r="BB10" s="245"/>
      <c r="BC10" s="245"/>
      <c r="BD10" s="245"/>
      <c r="BE10" s="245"/>
      <c r="BF10" s="245"/>
      <c r="BG10" s="245"/>
      <c r="BH10" s="246"/>
      <c r="BI10" s="247" t="s">
        <v>16</v>
      </c>
      <c r="BJ10" s="248"/>
      <c r="BK10" s="171" t="s">
        <v>17</v>
      </c>
      <c r="BL10" s="249"/>
      <c r="BM10" s="250"/>
      <c r="BN10" s="216" t="s">
        <v>18</v>
      </c>
      <c r="BO10" s="219" t="s">
        <v>15</v>
      </c>
      <c r="BP10" s="222" t="s">
        <v>19</v>
      </c>
      <c r="BQ10" s="225" t="s">
        <v>20</v>
      </c>
      <c r="BR10" s="228" t="s">
        <v>21</v>
      </c>
      <c r="BS10" s="3"/>
      <c r="BT10" s="3"/>
    </row>
    <row r="11" spans="1:77" s="20" customFormat="1" ht="15" customHeight="1" x14ac:dyDescent="0.2">
      <c r="A11" s="279"/>
      <c r="B11" s="281"/>
      <c r="C11" s="231" t="s">
        <v>22</v>
      </c>
      <c r="D11" s="232"/>
      <c r="E11" s="232" t="s">
        <v>23</v>
      </c>
      <c r="F11" s="232"/>
      <c r="G11" s="233" t="s">
        <v>24</v>
      </c>
      <c r="H11" s="236">
        <v>0.25</v>
      </c>
      <c r="I11" s="203" t="s">
        <v>25</v>
      </c>
      <c r="J11" s="204"/>
      <c r="K11" s="205" t="s">
        <v>26</v>
      </c>
      <c r="L11" s="206"/>
      <c r="M11" s="205" t="s">
        <v>27</v>
      </c>
      <c r="N11" s="206"/>
      <c r="O11" s="205" t="s">
        <v>28</v>
      </c>
      <c r="P11" s="206"/>
      <c r="Q11" s="207" t="s">
        <v>24</v>
      </c>
      <c r="R11" s="210">
        <v>0.05</v>
      </c>
      <c r="S11" s="189" t="s">
        <v>29</v>
      </c>
      <c r="T11" s="190"/>
      <c r="U11" s="191" t="s">
        <v>30</v>
      </c>
      <c r="V11" s="190"/>
      <c r="W11" s="191" t="s">
        <v>31</v>
      </c>
      <c r="X11" s="190"/>
      <c r="Y11" s="192" t="s">
        <v>24</v>
      </c>
      <c r="Z11" s="196">
        <v>0.1</v>
      </c>
      <c r="AA11" s="213" t="s">
        <v>32</v>
      </c>
      <c r="AB11" s="215">
        <v>0.2</v>
      </c>
      <c r="AC11" s="272" t="s">
        <v>33</v>
      </c>
      <c r="AD11" s="173"/>
      <c r="AE11" s="274">
        <v>0.4</v>
      </c>
      <c r="AF11" s="261"/>
      <c r="AG11" s="264"/>
      <c r="AH11" s="267"/>
      <c r="AI11" s="270"/>
      <c r="AJ11" s="240"/>
      <c r="AK11" s="231" t="s">
        <v>22</v>
      </c>
      <c r="AL11" s="232"/>
      <c r="AM11" s="232" t="s">
        <v>23</v>
      </c>
      <c r="AN11" s="251"/>
      <c r="AO11" s="233" t="s">
        <v>34</v>
      </c>
      <c r="AP11" s="236">
        <v>0.25</v>
      </c>
      <c r="AQ11" s="203" t="s">
        <v>25</v>
      </c>
      <c r="AR11" s="204"/>
      <c r="AS11" s="205" t="s">
        <v>26</v>
      </c>
      <c r="AT11" s="206"/>
      <c r="AU11" s="205" t="s">
        <v>27</v>
      </c>
      <c r="AV11" s="206"/>
      <c r="AW11" s="205" t="s">
        <v>28</v>
      </c>
      <c r="AX11" s="206"/>
      <c r="AY11" s="207" t="s">
        <v>24</v>
      </c>
      <c r="AZ11" s="210">
        <v>0.05</v>
      </c>
      <c r="BA11" s="189" t="s">
        <v>29</v>
      </c>
      <c r="BB11" s="190"/>
      <c r="BC11" s="191" t="s">
        <v>30</v>
      </c>
      <c r="BD11" s="190"/>
      <c r="BE11" s="191" t="s">
        <v>31</v>
      </c>
      <c r="BF11" s="190"/>
      <c r="BG11" s="192" t="s">
        <v>24</v>
      </c>
      <c r="BH11" s="195">
        <v>0.1</v>
      </c>
      <c r="BI11" s="198" t="s">
        <v>35</v>
      </c>
      <c r="BJ11" s="167">
        <v>0.2</v>
      </c>
      <c r="BK11" s="170" t="s">
        <v>33</v>
      </c>
      <c r="BL11" s="171"/>
      <c r="BM11" s="176">
        <v>0.4</v>
      </c>
      <c r="BN11" s="217"/>
      <c r="BO11" s="220"/>
      <c r="BP11" s="223"/>
      <c r="BQ11" s="226"/>
      <c r="BR11" s="229"/>
      <c r="BS11" s="3"/>
      <c r="BT11" s="3"/>
    </row>
    <row r="12" spans="1:77" s="20" customFormat="1" ht="11.25" customHeight="1" x14ac:dyDescent="0.2">
      <c r="A12" s="279"/>
      <c r="B12" s="281"/>
      <c r="C12" s="179">
        <v>30</v>
      </c>
      <c r="D12" s="180"/>
      <c r="E12" s="183">
        <v>30</v>
      </c>
      <c r="F12" s="180"/>
      <c r="G12" s="234"/>
      <c r="H12" s="237"/>
      <c r="I12" s="165">
        <v>10</v>
      </c>
      <c r="J12" s="166"/>
      <c r="K12" s="166">
        <v>10</v>
      </c>
      <c r="L12" s="166"/>
      <c r="M12" s="166">
        <v>10</v>
      </c>
      <c r="N12" s="166"/>
      <c r="O12" s="166">
        <v>100</v>
      </c>
      <c r="P12" s="166"/>
      <c r="Q12" s="208"/>
      <c r="R12" s="211"/>
      <c r="S12" s="185">
        <v>10</v>
      </c>
      <c r="T12" s="186"/>
      <c r="U12" s="201">
        <v>10</v>
      </c>
      <c r="V12" s="186"/>
      <c r="W12" s="201">
        <v>30</v>
      </c>
      <c r="X12" s="186"/>
      <c r="Y12" s="193"/>
      <c r="Z12" s="196"/>
      <c r="AA12" s="213"/>
      <c r="AB12" s="168"/>
      <c r="AC12" s="272"/>
      <c r="AD12" s="173"/>
      <c r="AE12" s="177"/>
      <c r="AF12" s="261"/>
      <c r="AG12" s="264"/>
      <c r="AH12" s="267"/>
      <c r="AI12" s="270"/>
      <c r="AJ12" s="240"/>
      <c r="AK12" s="159">
        <v>30</v>
      </c>
      <c r="AL12" s="160"/>
      <c r="AM12" s="163">
        <v>30</v>
      </c>
      <c r="AN12" s="160"/>
      <c r="AO12" s="252"/>
      <c r="AP12" s="253"/>
      <c r="AQ12" s="165">
        <v>20</v>
      </c>
      <c r="AR12" s="166"/>
      <c r="AS12" s="166">
        <v>10</v>
      </c>
      <c r="AT12" s="166"/>
      <c r="AU12" s="166">
        <v>10</v>
      </c>
      <c r="AV12" s="166"/>
      <c r="AW12" s="166">
        <v>100</v>
      </c>
      <c r="AX12" s="166"/>
      <c r="AY12" s="208"/>
      <c r="AZ12" s="211"/>
      <c r="BA12" s="185">
        <v>10</v>
      </c>
      <c r="BB12" s="186"/>
      <c r="BC12" s="201">
        <v>10</v>
      </c>
      <c r="BD12" s="186"/>
      <c r="BE12" s="201">
        <v>30</v>
      </c>
      <c r="BF12" s="186"/>
      <c r="BG12" s="193"/>
      <c r="BH12" s="196"/>
      <c r="BI12" s="199"/>
      <c r="BJ12" s="168"/>
      <c r="BK12" s="172"/>
      <c r="BL12" s="173"/>
      <c r="BM12" s="177"/>
      <c r="BN12" s="217"/>
      <c r="BO12" s="220"/>
      <c r="BP12" s="223"/>
      <c r="BQ12" s="226"/>
      <c r="BR12" s="229"/>
      <c r="BS12" s="3"/>
      <c r="BT12" s="3"/>
    </row>
    <row r="13" spans="1:77" s="20" customFormat="1" ht="10.5" customHeight="1" x14ac:dyDescent="0.2">
      <c r="A13" s="279"/>
      <c r="B13" s="281"/>
      <c r="C13" s="181"/>
      <c r="D13" s="182"/>
      <c r="E13" s="184"/>
      <c r="F13" s="182"/>
      <c r="G13" s="234"/>
      <c r="H13" s="237"/>
      <c r="I13" s="165"/>
      <c r="J13" s="166"/>
      <c r="K13" s="166"/>
      <c r="L13" s="166"/>
      <c r="M13" s="166"/>
      <c r="N13" s="166"/>
      <c r="O13" s="166"/>
      <c r="P13" s="166"/>
      <c r="Q13" s="208"/>
      <c r="R13" s="211"/>
      <c r="S13" s="187"/>
      <c r="T13" s="188"/>
      <c r="U13" s="202"/>
      <c r="V13" s="188"/>
      <c r="W13" s="202"/>
      <c r="X13" s="188"/>
      <c r="Y13" s="193"/>
      <c r="Z13" s="196"/>
      <c r="AA13" s="213"/>
      <c r="AB13" s="168"/>
      <c r="AC13" s="273"/>
      <c r="AD13" s="175"/>
      <c r="AE13" s="177"/>
      <c r="AF13" s="261"/>
      <c r="AG13" s="264"/>
      <c r="AH13" s="267"/>
      <c r="AI13" s="270"/>
      <c r="AJ13" s="240"/>
      <c r="AK13" s="161"/>
      <c r="AL13" s="162"/>
      <c r="AM13" s="164"/>
      <c r="AN13" s="162"/>
      <c r="AO13" s="252"/>
      <c r="AP13" s="253"/>
      <c r="AQ13" s="165"/>
      <c r="AR13" s="166"/>
      <c r="AS13" s="166"/>
      <c r="AT13" s="166"/>
      <c r="AU13" s="166"/>
      <c r="AV13" s="166"/>
      <c r="AW13" s="166"/>
      <c r="AX13" s="166"/>
      <c r="AY13" s="208"/>
      <c r="AZ13" s="211"/>
      <c r="BA13" s="187"/>
      <c r="BB13" s="188"/>
      <c r="BC13" s="202"/>
      <c r="BD13" s="188"/>
      <c r="BE13" s="202"/>
      <c r="BF13" s="188"/>
      <c r="BG13" s="193"/>
      <c r="BH13" s="196"/>
      <c r="BI13" s="199"/>
      <c r="BJ13" s="168"/>
      <c r="BK13" s="174"/>
      <c r="BL13" s="175"/>
      <c r="BM13" s="177"/>
      <c r="BN13" s="217"/>
      <c r="BO13" s="220"/>
      <c r="BP13" s="223"/>
      <c r="BQ13" s="226"/>
      <c r="BR13" s="229"/>
      <c r="BS13" s="3"/>
      <c r="BT13" s="3"/>
    </row>
    <row r="14" spans="1:77" s="34" customFormat="1" ht="48" customHeight="1" thickBot="1" x14ac:dyDescent="0.25">
      <c r="A14" s="280"/>
      <c r="B14" s="282"/>
      <c r="C14" s="21" t="s">
        <v>36</v>
      </c>
      <c r="D14" s="22" t="s">
        <v>32</v>
      </c>
      <c r="E14" s="23" t="s">
        <v>36</v>
      </c>
      <c r="F14" s="22" t="s">
        <v>32</v>
      </c>
      <c r="G14" s="235"/>
      <c r="H14" s="238"/>
      <c r="I14" s="24" t="s">
        <v>36</v>
      </c>
      <c r="J14" s="25" t="s">
        <v>32</v>
      </c>
      <c r="K14" s="25" t="s">
        <v>36</v>
      </c>
      <c r="L14" s="25" t="s">
        <v>32</v>
      </c>
      <c r="M14" s="25" t="s">
        <v>36</v>
      </c>
      <c r="N14" s="25" t="s">
        <v>32</v>
      </c>
      <c r="O14" s="25" t="s">
        <v>36</v>
      </c>
      <c r="P14" s="25" t="s">
        <v>32</v>
      </c>
      <c r="Q14" s="209"/>
      <c r="R14" s="212"/>
      <c r="S14" s="26" t="s">
        <v>36</v>
      </c>
      <c r="T14" s="27" t="s">
        <v>32</v>
      </c>
      <c r="U14" s="27" t="s">
        <v>36</v>
      </c>
      <c r="V14" s="27" t="s">
        <v>32</v>
      </c>
      <c r="W14" s="27" t="s">
        <v>36</v>
      </c>
      <c r="X14" s="28" t="s">
        <v>32</v>
      </c>
      <c r="Y14" s="194"/>
      <c r="Z14" s="197"/>
      <c r="AA14" s="214"/>
      <c r="AB14" s="169"/>
      <c r="AC14" s="29" t="s">
        <v>36</v>
      </c>
      <c r="AD14" s="30" t="s">
        <v>32</v>
      </c>
      <c r="AE14" s="275"/>
      <c r="AF14" s="262"/>
      <c r="AG14" s="265"/>
      <c r="AH14" s="268"/>
      <c r="AI14" s="271"/>
      <c r="AJ14" s="241"/>
      <c r="AK14" s="21" t="s">
        <v>36</v>
      </c>
      <c r="AL14" s="22" t="s">
        <v>32</v>
      </c>
      <c r="AM14" s="22" t="s">
        <v>36</v>
      </c>
      <c r="AN14" s="31" t="s">
        <v>32</v>
      </c>
      <c r="AO14" s="235"/>
      <c r="AP14" s="254"/>
      <c r="AQ14" s="24" t="s">
        <v>36</v>
      </c>
      <c r="AR14" s="25" t="s">
        <v>32</v>
      </c>
      <c r="AS14" s="25" t="s">
        <v>36</v>
      </c>
      <c r="AT14" s="25" t="s">
        <v>32</v>
      </c>
      <c r="AU14" s="25" t="s">
        <v>36</v>
      </c>
      <c r="AV14" s="25" t="s">
        <v>32</v>
      </c>
      <c r="AW14" s="25" t="s">
        <v>36</v>
      </c>
      <c r="AX14" s="25" t="s">
        <v>32</v>
      </c>
      <c r="AY14" s="209"/>
      <c r="AZ14" s="212"/>
      <c r="BA14" s="26" t="s">
        <v>36</v>
      </c>
      <c r="BB14" s="27" t="s">
        <v>32</v>
      </c>
      <c r="BC14" s="27" t="s">
        <v>36</v>
      </c>
      <c r="BD14" s="27" t="s">
        <v>32</v>
      </c>
      <c r="BE14" s="27" t="s">
        <v>36</v>
      </c>
      <c r="BF14" s="28" t="s">
        <v>32</v>
      </c>
      <c r="BG14" s="194"/>
      <c r="BH14" s="197"/>
      <c r="BI14" s="200"/>
      <c r="BJ14" s="169"/>
      <c r="BK14" s="32" t="s">
        <v>36</v>
      </c>
      <c r="BL14" s="33" t="s">
        <v>32</v>
      </c>
      <c r="BM14" s="178"/>
      <c r="BN14" s="218"/>
      <c r="BO14" s="221"/>
      <c r="BP14" s="224"/>
      <c r="BQ14" s="227"/>
      <c r="BR14" s="230"/>
      <c r="BS14" s="3"/>
      <c r="BT14" s="3"/>
    </row>
    <row r="15" spans="1:77" ht="15" customHeight="1" x14ac:dyDescent="0.3">
      <c r="A15" s="35">
        <v>1</v>
      </c>
      <c r="B15" s="36" t="s">
        <v>46</v>
      </c>
      <c r="C15" s="37">
        <v>24.599999999999998</v>
      </c>
      <c r="D15" s="38">
        <f>(C15*45)/30+50</f>
        <v>86.9</v>
      </c>
      <c r="E15" s="39">
        <v>12</v>
      </c>
      <c r="F15" s="38">
        <f>(E15*45)/30+50</f>
        <v>68</v>
      </c>
      <c r="G15" s="40">
        <f>(D15+F15)/2</f>
        <v>77.45</v>
      </c>
      <c r="H15" s="41">
        <f>G15*25%</f>
        <v>19.362500000000001</v>
      </c>
      <c r="I15" s="42">
        <v>5</v>
      </c>
      <c r="J15" s="43">
        <f>((I15*45)/10+50)</f>
        <v>72.5</v>
      </c>
      <c r="K15" s="44">
        <v>10</v>
      </c>
      <c r="L15" s="43">
        <f>((K15*45)/10+50)</f>
        <v>95</v>
      </c>
      <c r="M15" s="44">
        <v>10</v>
      </c>
      <c r="N15" s="43">
        <f>((M15*45)/10+50)</f>
        <v>95</v>
      </c>
      <c r="O15" s="45">
        <v>95</v>
      </c>
      <c r="P15" s="43">
        <f>((O15*45)/100+50)</f>
        <v>92.75</v>
      </c>
      <c r="Q15" s="45">
        <f>(J15+L15+N15+P15)/4</f>
        <v>88.8125</v>
      </c>
      <c r="R15" s="46">
        <f>Q15*5%</f>
        <v>4.4406249999999998</v>
      </c>
      <c r="S15" s="47">
        <v>6</v>
      </c>
      <c r="T15" s="48">
        <f>S15/10*45+50</f>
        <v>77</v>
      </c>
      <c r="U15" s="49">
        <v>10</v>
      </c>
      <c r="V15" s="48">
        <f>U15/10*45+50</f>
        <v>95</v>
      </c>
      <c r="W15" s="49">
        <v>25</v>
      </c>
      <c r="X15" s="48">
        <f>W15/30*45+50</f>
        <v>87.5</v>
      </c>
      <c r="Y15" s="50">
        <f>(T15+V15+X15)/3</f>
        <v>86.5</v>
      </c>
      <c r="Z15" s="51">
        <f>Y15*10%</f>
        <v>8.65</v>
      </c>
      <c r="AA15" s="52">
        <v>60</v>
      </c>
      <c r="AB15" s="53">
        <f>((AA15*45)/100+50)*20%</f>
        <v>15.4</v>
      </c>
      <c r="AC15" s="54">
        <v>48</v>
      </c>
      <c r="AD15" s="55">
        <f>(AC15*45)/100+50</f>
        <v>71.599999999999994</v>
      </c>
      <c r="AE15" s="56">
        <f>AD15*40%</f>
        <v>28.64</v>
      </c>
      <c r="AF15" s="57">
        <f t="shared" ref="AF15:AF59" si="0">H15+R15+Z15+AB15+AE15</f>
        <v>76.493124999999992</v>
      </c>
      <c r="AG15" s="58">
        <f>AF15*1/2</f>
        <v>38.246562499999996</v>
      </c>
      <c r="AH15" s="59">
        <f t="shared" ref="AH15:AH59" si="1">VLOOKUP(AF15,$BS$104:$BT$442,2)</f>
        <v>2.86</v>
      </c>
      <c r="AI15" s="35">
        <v>1</v>
      </c>
      <c r="AJ15" s="36" t="str">
        <f t="shared" ref="AJ15:AJ59" si="2">B15</f>
        <v>DELA CRUZ, JUAN P.</v>
      </c>
      <c r="AK15" s="60">
        <v>13.999999999999998</v>
      </c>
      <c r="AL15" s="61">
        <f>(AK15*45)/30+50</f>
        <v>71</v>
      </c>
      <c r="AM15" s="62">
        <v>20</v>
      </c>
      <c r="AN15" s="61">
        <f>(AM15*45)/30+50</f>
        <v>80</v>
      </c>
      <c r="AO15" s="63">
        <f>(AL15+AN15)/2</f>
        <v>75.5</v>
      </c>
      <c r="AP15" s="64">
        <f>AO15*25%</f>
        <v>18.875</v>
      </c>
      <c r="AQ15" s="42">
        <v>6</v>
      </c>
      <c r="AR15" s="43">
        <f>((AQ15*45)/20+50)</f>
        <v>63.5</v>
      </c>
      <c r="AS15" s="65">
        <v>10</v>
      </c>
      <c r="AT15" s="66">
        <f>((AS15*45)/10+50)</f>
        <v>95</v>
      </c>
      <c r="AU15" s="65">
        <v>10</v>
      </c>
      <c r="AV15" s="66">
        <f>((AU15*45)/10+50)</f>
        <v>95</v>
      </c>
      <c r="AW15" s="45">
        <v>90</v>
      </c>
      <c r="AX15" s="67">
        <f>((AW15*45)/100+50)</f>
        <v>90.5</v>
      </c>
      <c r="AY15" s="45">
        <f>(AR15+AT15+AV15+AX15)/4</f>
        <v>86</v>
      </c>
      <c r="AZ15" s="46">
        <f>AY15*5%</f>
        <v>4.3</v>
      </c>
      <c r="BA15" s="68">
        <v>2</v>
      </c>
      <c r="BB15" s="48">
        <f>BA15/10*45+50</f>
        <v>59</v>
      </c>
      <c r="BC15" s="49">
        <v>2</v>
      </c>
      <c r="BD15" s="48">
        <f>BC15/10*45+50</f>
        <v>59</v>
      </c>
      <c r="BE15" s="49">
        <v>10</v>
      </c>
      <c r="BF15" s="48">
        <f>BE15/10*45+50</f>
        <v>95</v>
      </c>
      <c r="BG15" s="50">
        <f>(BB15+BD15+BF15)/3</f>
        <v>71</v>
      </c>
      <c r="BH15" s="69">
        <f>BG15*10%</f>
        <v>7.1000000000000005</v>
      </c>
      <c r="BI15" s="70">
        <v>75</v>
      </c>
      <c r="BJ15" s="71">
        <f>((BI15*45)/100+50)*20%</f>
        <v>16.75</v>
      </c>
      <c r="BK15" s="72">
        <v>66</v>
      </c>
      <c r="BL15" s="73">
        <f>(BK15*45)/100+50</f>
        <v>79.7</v>
      </c>
      <c r="BM15" s="74">
        <f>BL15*40%</f>
        <v>31.880000000000003</v>
      </c>
      <c r="BN15" s="75">
        <f>AP15+AZ15+BH15+BJ15+BM15</f>
        <v>78.905000000000001</v>
      </c>
      <c r="BO15" s="76">
        <f>BN15*1/2</f>
        <v>39.452500000000001</v>
      </c>
      <c r="BP15" s="77">
        <f>AG15+BO15</f>
        <v>77.699062499999997</v>
      </c>
      <c r="BQ15" s="78">
        <f t="shared" ref="BQ15:BQ59" si="3">VLOOKUP(BP15,$BS$104:$BT$442,2)</f>
        <v>2.74</v>
      </c>
      <c r="BR15" s="79" t="str">
        <f>IF(BQ15&lt;=3.01,"PASSED","FAILED")</f>
        <v>PASSED</v>
      </c>
    </row>
    <row r="16" spans="1:77" ht="15" customHeight="1" x14ac:dyDescent="0.3">
      <c r="A16" s="80">
        <v>2</v>
      </c>
      <c r="B16" s="81" t="s">
        <v>46</v>
      </c>
      <c r="C16" s="82">
        <v>15.6</v>
      </c>
      <c r="D16" s="83">
        <f t="shared" ref="D16:D59" si="4">(C16*45)/30+50</f>
        <v>73.400000000000006</v>
      </c>
      <c r="E16" s="84">
        <v>12</v>
      </c>
      <c r="F16" s="83">
        <f t="shared" ref="F16:F59" si="5">(E16*45)/30+50</f>
        <v>68</v>
      </c>
      <c r="G16" s="40">
        <f t="shared" ref="G16:G59" si="6">(D16+F16)/2</f>
        <v>70.7</v>
      </c>
      <c r="H16" s="41">
        <f t="shared" ref="H16:H59" si="7">G16*25%</f>
        <v>17.675000000000001</v>
      </c>
      <c r="I16" s="85">
        <v>6</v>
      </c>
      <c r="J16" s="86">
        <f t="shared" ref="J16:J59" si="8">((I16*45)/10+50)</f>
        <v>77</v>
      </c>
      <c r="K16" s="87">
        <v>10</v>
      </c>
      <c r="L16" s="86">
        <f t="shared" ref="L16:L59" si="9">((K16*45)/10+50)</f>
        <v>95</v>
      </c>
      <c r="M16" s="87">
        <v>10</v>
      </c>
      <c r="N16" s="86">
        <f t="shared" ref="N16:N59" si="10">((M16*45)/10+50)</f>
        <v>95</v>
      </c>
      <c r="O16" s="88">
        <v>95</v>
      </c>
      <c r="P16" s="86">
        <f t="shared" ref="P16:P59" si="11">((O16*45)/100+50)</f>
        <v>92.75</v>
      </c>
      <c r="Q16" s="89">
        <f t="shared" ref="Q16:Q59" si="12">(J16+L16+N16+P16)/4</f>
        <v>89.9375</v>
      </c>
      <c r="R16" s="90">
        <f t="shared" ref="R16:R59" si="13">Q16*5%</f>
        <v>4.4968750000000002</v>
      </c>
      <c r="S16" s="91">
        <v>10</v>
      </c>
      <c r="T16" s="48">
        <f t="shared" ref="T16:T59" si="14">S16/10*45+50</f>
        <v>95</v>
      </c>
      <c r="U16" s="49">
        <v>0</v>
      </c>
      <c r="V16" s="48">
        <f t="shared" ref="V16:V59" si="15">U16/10*45+50</f>
        <v>50</v>
      </c>
      <c r="W16" s="49">
        <v>16</v>
      </c>
      <c r="X16" s="48">
        <f t="shared" ref="X16:X59" si="16">W16/30*45+50</f>
        <v>74</v>
      </c>
      <c r="Y16" s="50">
        <f t="shared" ref="Y16:Y59" si="17">(T16+V16+X16)/3</f>
        <v>73</v>
      </c>
      <c r="Z16" s="92">
        <f t="shared" ref="Z16:Z59" si="18">Y16*10%</f>
        <v>7.3000000000000007</v>
      </c>
      <c r="AA16" s="93">
        <v>50</v>
      </c>
      <c r="AB16" s="94">
        <f>((AA16*45)/100+50)*20%</f>
        <v>14.5</v>
      </c>
      <c r="AC16" s="95">
        <v>72</v>
      </c>
      <c r="AD16" s="55">
        <f>(AC16*45)/100+50</f>
        <v>82.4</v>
      </c>
      <c r="AE16" s="56">
        <f t="shared" ref="AE16:AE59" si="19">AD16*40%</f>
        <v>32.96</v>
      </c>
      <c r="AF16" s="57">
        <f t="shared" si="0"/>
        <v>76.931874999999991</v>
      </c>
      <c r="AG16" s="58">
        <f t="shared" ref="AG16:AG59" si="20">AF16*1/2</f>
        <v>38.465937499999995</v>
      </c>
      <c r="AH16" s="59">
        <f t="shared" si="1"/>
        <v>2.81</v>
      </c>
      <c r="AI16" s="80">
        <v>2</v>
      </c>
      <c r="AJ16" s="81" t="str">
        <f t="shared" si="2"/>
        <v>DELA CRUZ, JUAN P.</v>
      </c>
      <c r="AK16" s="96">
        <v>30</v>
      </c>
      <c r="AL16" s="83">
        <f t="shared" ref="AL16:AL59" si="21">(AK16*45)/30+50</f>
        <v>95</v>
      </c>
      <c r="AM16" s="84">
        <v>26</v>
      </c>
      <c r="AN16" s="83">
        <f t="shared" ref="AN16:AN59" si="22">(AM16*45)/30+50</f>
        <v>89</v>
      </c>
      <c r="AO16" s="97">
        <f t="shared" ref="AO16:AO59" si="23">(AL16+AN16)/2</f>
        <v>92</v>
      </c>
      <c r="AP16" s="98">
        <f t="shared" ref="AP16:AP59" si="24">AO16*25%</f>
        <v>23</v>
      </c>
      <c r="AQ16" s="85">
        <v>4</v>
      </c>
      <c r="AR16" s="86">
        <f>((AQ16*45)/20+50)</f>
        <v>59</v>
      </c>
      <c r="AS16" s="99">
        <v>10</v>
      </c>
      <c r="AT16" s="100">
        <f t="shared" ref="AT16:AT59" si="25">((AS16*45)/10+50)</f>
        <v>95</v>
      </c>
      <c r="AU16" s="99">
        <v>0</v>
      </c>
      <c r="AV16" s="100">
        <f t="shared" ref="AV16:AV59" si="26">((AU16*45)/10+50)</f>
        <v>50</v>
      </c>
      <c r="AW16" s="88">
        <v>95</v>
      </c>
      <c r="AX16" s="101">
        <f t="shared" ref="AX16:AX59" si="27">((AW16*45)/100+50)</f>
        <v>92.75</v>
      </c>
      <c r="AY16" s="89">
        <f t="shared" ref="AY16:AY59" si="28">(AR16+AT16+AV16+AX16)/4</f>
        <v>74.1875</v>
      </c>
      <c r="AZ16" s="90">
        <f t="shared" ref="AZ16:AZ59" si="29">AY16*5%</f>
        <v>3.7093750000000001</v>
      </c>
      <c r="BA16" s="102">
        <v>10</v>
      </c>
      <c r="BB16" s="48">
        <f t="shared" ref="BB16:BB59" si="30">BA16/10*45+50</f>
        <v>95</v>
      </c>
      <c r="BC16" s="49">
        <v>10</v>
      </c>
      <c r="BD16" s="48">
        <f t="shared" ref="BD16:BD59" si="31">BC16/10*45+50</f>
        <v>95</v>
      </c>
      <c r="BE16" s="49">
        <v>10</v>
      </c>
      <c r="BF16" s="48">
        <f t="shared" ref="BF16:BF59" si="32">BE16/10*45+50</f>
        <v>95</v>
      </c>
      <c r="BG16" s="50">
        <f t="shared" ref="BG16:BG59" si="33">(BB16+BD16+BF16)/3</f>
        <v>95</v>
      </c>
      <c r="BH16" s="69">
        <f t="shared" ref="BH16:BH59" si="34">BG16*10%</f>
        <v>9.5</v>
      </c>
      <c r="BI16" s="103">
        <v>85</v>
      </c>
      <c r="BJ16" s="104">
        <f>((BI16*45)/100+50)*20%</f>
        <v>17.650000000000002</v>
      </c>
      <c r="BK16" s="95">
        <v>60</v>
      </c>
      <c r="BL16" s="105">
        <f>(BK16*45)/100+50</f>
        <v>77</v>
      </c>
      <c r="BM16" s="106">
        <f t="shared" ref="BM16:BM59" si="35">BL16*40%</f>
        <v>30.8</v>
      </c>
      <c r="BN16" s="75">
        <f t="shared" ref="BN16:BN59" si="36">AP16+AZ16+BH16+BJ16+BM16</f>
        <v>84.659374999999997</v>
      </c>
      <c r="BO16" s="107">
        <f t="shared" ref="BO16:BO59" si="37">BN16*1/2</f>
        <v>42.329687499999999</v>
      </c>
      <c r="BP16" s="108">
        <f t="shared" ref="BP16:BP59" si="38">AG16+BO16</f>
        <v>80.795625000000001</v>
      </c>
      <c r="BQ16" s="109">
        <f t="shared" si="3"/>
        <v>2.4300000000000099</v>
      </c>
      <c r="BR16" s="79" t="str">
        <f t="shared" ref="BR16:BR59" si="39">IF(BQ16&lt;=3.01,"PASSED","FAILED")</f>
        <v>PASSED</v>
      </c>
      <c r="BS16"/>
    </row>
    <row r="17" spans="1:71" ht="15" customHeight="1" x14ac:dyDescent="0.3">
      <c r="A17" s="80">
        <v>3</v>
      </c>
      <c r="B17" s="81" t="s">
        <v>46</v>
      </c>
      <c r="C17" s="82">
        <v>16.2</v>
      </c>
      <c r="D17" s="83">
        <f t="shared" si="4"/>
        <v>74.3</v>
      </c>
      <c r="E17" s="84">
        <v>12</v>
      </c>
      <c r="F17" s="83">
        <f t="shared" si="5"/>
        <v>68</v>
      </c>
      <c r="G17" s="40">
        <f t="shared" si="6"/>
        <v>71.150000000000006</v>
      </c>
      <c r="H17" s="41">
        <f t="shared" si="7"/>
        <v>17.787500000000001</v>
      </c>
      <c r="I17" s="85">
        <v>5</v>
      </c>
      <c r="J17" s="86">
        <f t="shared" si="8"/>
        <v>72.5</v>
      </c>
      <c r="K17" s="87">
        <v>10</v>
      </c>
      <c r="L17" s="86">
        <f t="shared" si="9"/>
        <v>95</v>
      </c>
      <c r="M17" s="87">
        <v>10</v>
      </c>
      <c r="N17" s="86">
        <f t="shared" si="10"/>
        <v>95</v>
      </c>
      <c r="O17" s="88">
        <v>95</v>
      </c>
      <c r="P17" s="86">
        <f t="shared" si="11"/>
        <v>92.75</v>
      </c>
      <c r="Q17" s="89">
        <f t="shared" si="12"/>
        <v>88.8125</v>
      </c>
      <c r="R17" s="90">
        <f t="shared" si="13"/>
        <v>4.4406249999999998</v>
      </c>
      <c r="S17" s="91">
        <v>10</v>
      </c>
      <c r="T17" s="48">
        <f t="shared" si="14"/>
        <v>95</v>
      </c>
      <c r="U17" s="49">
        <v>0</v>
      </c>
      <c r="V17" s="48">
        <f t="shared" si="15"/>
        <v>50</v>
      </c>
      <c r="W17" s="49">
        <v>17</v>
      </c>
      <c r="X17" s="48">
        <f t="shared" si="16"/>
        <v>75.5</v>
      </c>
      <c r="Y17" s="50">
        <f t="shared" si="17"/>
        <v>73.5</v>
      </c>
      <c r="Z17" s="92">
        <f t="shared" si="18"/>
        <v>7.3500000000000005</v>
      </c>
      <c r="AA17" s="93">
        <v>60</v>
      </c>
      <c r="AB17" s="94">
        <f t="shared" ref="AB17:AB59" si="40">((AA17*45)/100+50)*20%</f>
        <v>15.4</v>
      </c>
      <c r="AC17" s="95">
        <v>56</v>
      </c>
      <c r="AD17" s="55">
        <f t="shared" ref="AD17:AD59" si="41">(AC17*45)/100+50</f>
        <v>75.2</v>
      </c>
      <c r="AE17" s="56">
        <f t="shared" si="19"/>
        <v>30.080000000000002</v>
      </c>
      <c r="AF17" s="57">
        <f t="shared" si="0"/>
        <v>75.058125000000004</v>
      </c>
      <c r="AG17" s="58">
        <f t="shared" si="20"/>
        <v>37.529062500000002</v>
      </c>
      <c r="AH17" s="59">
        <f t="shared" si="1"/>
        <v>3</v>
      </c>
      <c r="AI17" s="80">
        <v>3</v>
      </c>
      <c r="AJ17" s="81" t="str">
        <f t="shared" si="2"/>
        <v>DELA CRUZ, JUAN P.</v>
      </c>
      <c r="AK17" s="96">
        <v>30</v>
      </c>
      <c r="AL17" s="83">
        <f t="shared" si="21"/>
        <v>95</v>
      </c>
      <c r="AM17" s="84">
        <v>18</v>
      </c>
      <c r="AN17" s="83">
        <f t="shared" si="22"/>
        <v>77</v>
      </c>
      <c r="AO17" s="97">
        <f t="shared" si="23"/>
        <v>86</v>
      </c>
      <c r="AP17" s="98">
        <f t="shared" si="24"/>
        <v>21.5</v>
      </c>
      <c r="AQ17" s="85">
        <v>4</v>
      </c>
      <c r="AR17" s="86">
        <f t="shared" ref="AR17:AR59" si="42">((AQ17*45)/20+50)</f>
        <v>59</v>
      </c>
      <c r="AS17" s="99">
        <v>10</v>
      </c>
      <c r="AT17" s="100">
        <f t="shared" si="25"/>
        <v>95</v>
      </c>
      <c r="AU17" s="99">
        <v>10</v>
      </c>
      <c r="AV17" s="100">
        <f t="shared" si="26"/>
        <v>95</v>
      </c>
      <c r="AW17" s="88">
        <v>95</v>
      </c>
      <c r="AX17" s="101">
        <f t="shared" si="27"/>
        <v>92.75</v>
      </c>
      <c r="AY17" s="89">
        <f t="shared" si="28"/>
        <v>85.4375</v>
      </c>
      <c r="AZ17" s="90">
        <f t="shared" si="29"/>
        <v>4.2718750000000005</v>
      </c>
      <c r="BA17" s="102">
        <v>10</v>
      </c>
      <c r="BB17" s="48">
        <f t="shared" si="30"/>
        <v>95</v>
      </c>
      <c r="BC17" s="49">
        <v>10</v>
      </c>
      <c r="BD17" s="48">
        <f t="shared" si="31"/>
        <v>95</v>
      </c>
      <c r="BE17" s="49">
        <v>10</v>
      </c>
      <c r="BF17" s="48">
        <f t="shared" si="32"/>
        <v>95</v>
      </c>
      <c r="BG17" s="50">
        <f t="shared" si="33"/>
        <v>95</v>
      </c>
      <c r="BH17" s="69">
        <f t="shared" si="34"/>
        <v>9.5</v>
      </c>
      <c r="BI17" s="103">
        <v>75</v>
      </c>
      <c r="BJ17" s="104">
        <f t="shared" ref="BJ17:BJ59" si="43">((BI17*45)/100+50)*20%</f>
        <v>16.75</v>
      </c>
      <c r="BK17" s="95">
        <v>72</v>
      </c>
      <c r="BL17" s="105">
        <f t="shared" ref="BL17:BL59" si="44">(BK17*45)/100+50</f>
        <v>82.4</v>
      </c>
      <c r="BM17" s="106">
        <f t="shared" si="35"/>
        <v>32.96</v>
      </c>
      <c r="BN17" s="75">
        <f t="shared" si="36"/>
        <v>84.981875000000002</v>
      </c>
      <c r="BO17" s="107">
        <f t="shared" si="37"/>
        <v>42.490937500000001</v>
      </c>
      <c r="BP17" s="108">
        <f t="shared" si="38"/>
        <v>80.02000000000001</v>
      </c>
      <c r="BQ17" s="109">
        <f t="shared" si="3"/>
        <v>2.5000000000000102</v>
      </c>
      <c r="BR17" s="79" t="str">
        <f t="shared" si="39"/>
        <v>PASSED</v>
      </c>
    </row>
    <row r="18" spans="1:71" s="110" customFormat="1" ht="15" customHeight="1" x14ac:dyDescent="0.3">
      <c r="A18" s="80">
        <v>4</v>
      </c>
      <c r="B18" s="81" t="s">
        <v>46</v>
      </c>
      <c r="C18" s="82">
        <v>23.4</v>
      </c>
      <c r="D18" s="83">
        <f t="shared" si="4"/>
        <v>85.1</v>
      </c>
      <c r="E18" s="84">
        <v>23</v>
      </c>
      <c r="F18" s="83">
        <f t="shared" si="5"/>
        <v>84.5</v>
      </c>
      <c r="G18" s="40">
        <f t="shared" si="6"/>
        <v>84.8</v>
      </c>
      <c r="H18" s="41">
        <f t="shared" si="7"/>
        <v>21.2</v>
      </c>
      <c r="I18" s="85">
        <v>8</v>
      </c>
      <c r="J18" s="86">
        <f t="shared" si="8"/>
        <v>86</v>
      </c>
      <c r="K18" s="87">
        <v>10</v>
      </c>
      <c r="L18" s="86">
        <f t="shared" si="9"/>
        <v>95</v>
      </c>
      <c r="M18" s="87">
        <v>10</v>
      </c>
      <c r="N18" s="86">
        <f t="shared" si="10"/>
        <v>95</v>
      </c>
      <c r="O18" s="88">
        <v>100</v>
      </c>
      <c r="P18" s="86">
        <f t="shared" si="11"/>
        <v>95</v>
      </c>
      <c r="Q18" s="89">
        <f t="shared" si="12"/>
        <v>92.75</v>
      </c>
      <c r="R18" s="90">
        <f t="shared" si="13"/>
        <v>4.6375000000000002</v>
      </c>
      <c r="S18" s="91">
        <v>10</v>
      </c>
      <c r="T18" s="48">
        <f t="shared" si="14"/>
        <v>95</v>
      </c>
      <c r="U18" s="49">
        <v>10</v>
      </c>
      <c r="V18" s="48">
        <f t="shared" si="15"/>
        <v>95</v>
      </c>
      <c r="W18" s="49">
        <v>19</v>
      </c>
      <c r="X18" s="48">
        <f t="shared" si="16"/>
        <v>78.5</v>
      </c>
      <c r="Y18" s="50">
        <f t="shared" si="17"/>
        <v>89.5</v>
      </c>
      <c r="Z18" s="92">
        <f t="shared" si="18"/>
        <v>8.9500000000000011</v>
      </c>
      <c r="AA18" s="93">
        <v>80</v>
      </c>
      <c r="AB18" s="94">
        <f t="shared" si="40"/>
        <v>17.2</v>
      </c>
      <c r="AC18" s="95">
        <v>78</v>
      </c>
      <c r="AD18" s="55">
        <f t="shared" si="41"/>
        <v>85.1</v>
      </c>
      <c r="AE18" s="56">
        <f t="shared" si="19"/>
        <v>34.04</v>
      </c>
      <c r="AF18" s="57">
        <f t="shared" si="0"/>
        <v>86.027500000000003</v>
      </c>
      <c r="AG18" s="58">
        <f t="shared" si="20"/>
        <v>43.013750000000002</v>
      </c>
      <c r="AH18" s="59">
        <f t="shared" si="1"/>
        <v>1.9000000000000199</v>
      </c>
      <c r="AI18" s="80">
        <v>4</v>
      </c>
      <c r="AJ18" s="81" t="str">
        <f t="shared" si="2"/>
        <v>DELA CRUZ, JUAN P.</v>
      </c>
      <c r="AK18" s="96">
        <v>30</v>
      </c>
      <c r="AL18" s="83">
        <f t="shared" si="21"/>
        <v>95</v>
      </c>
      <c r="AM18" s="84">
        <v>26</v>
      </c>
      <c r="AN18" s="83">
        <f t="shared" si="22"/>
        <v>89</v>
      </c>
      <c r="AO18" s="97">
        <f t="shared" si="23"/>
        <v>92</v>
      </c>
      <c r="AP18" s="98">
        <f t="shared" si="24"/>
        <v>23</v>
      </c>
      <c r="AQ18" s="85">
        <v>8</v>
      </c>
      <c r="AR18" s="86">
        <f t="shared" si="42"/>
        <v>68</v>
      </c>
      <c r="AS18" s="99">
        <v>10</v>
      </c>
      <c r="AT18" s="100">
        <f t="shared" si="25"/>
        <v>95</v>
      </c>
      <c r="AU18" s="99">
        <v>10</v>
      </c>
      <c r="AV18" s="100">
        <f t="shared" si="26"/>
        <v>95</v>
      </c>
      <c r="AW18" s="88">
        <v>100</v>
      </c>
      <c r="AX18" s="101">
        <f t="shared" si="27"/>
        <v>95</v>
      </c>
      <c r="AY18" s="89">
        <f t="shared" si="28"/>
        <v>88.25</v>
      </c>
      <c r="AZ18" s="90">
        <f t="shared" si="29"/>
        <v>4.4125000000000005</v>
      </c>
      <c r="BA18" s="102">
        <v>10</v>
      </c>
      <c r="BB18" s="48">
        <f t="shared" si="30"/>
        <v>95</v>
      </c>
      <c r="BC18" s="49">
        <v>10</v>
      </c>
      <c r="BD18" s="48">
        <f t="shared" si="31"/>
        <v>95</v>
      </c>
      <c r="BE18" s="49">
        <v>10</v>
      </c>
      <c r="BF18" s="48">
        <f t="shared" si="32"/>
        <v>95</v>
      </c>
      <c r="BG18" s="50">
        <f t="shared" si="33"/>
        <v>95</v>
      </c>
      <c r="BH18" s="69">
        <f t="shared" si="34"/>
        <v>9.5</v>
      </c>
      <c r="BI18" s="103">
        <v>85</v>
      </c>
      <c r="BJ18" s="104">
        <f t="shared" si="43"/>
        <v>17.650000000000002</v>
      </c>
      <c r="BK18" s="95">
        <v>84</v>
      </c>
      <c r="BL18" s="105">
        <f t="shared" si="44"/>
        <v>87.8</v>
      </c>
      <c r="BM18" s="106">
        <f t="shared" si="35"/>
        <v>35.119999999999997</v>
      </c>
      <c r="BN18" s="75">
        <f t="shared" si="36"/>
        <v>89.682500000000005</v>
      </c>
      <c r="BO18" s="107">
        <f t="shared" si="37"/>
        <v>44.841250000000002</v>
      </c>
      <c r="BP18" s="108">
        <f t="shared" si="38"/>
        <v>87.855000000000004</v>
      </c>
      <c r="BQ18" s="109">
        <f t="shared" si="3"/>
        <v>1.7200000000000299</v>
      </c>
      <c r="BR18" s="79" t="str">
        <f t="shared" si="39"/>
        <v>PASSED</v>
      </c>
    </row>
    <row r="19" spans="1:71" ht="15" customHeight="1" x14ac:dyDescent="0.3">
      <c r="A19" s="80">
        <v>5</v>
      </c>
      <c r="B19" s="81" t="s">
        <v>46</v>
      </c>
      <c r="C19" s="82">
        <v>26.4</v>
      </c>
      <c r="D19" s="83">
        <f t="shared" si="4"/>
        <v>89.6</v>
      </c>
      <c r="E19" s="84">
        <v>24</v>
      </c>
      <c r="F19" s="83">
        <f t="shared" si="5"/>
        <v>86</v>
      </c>
      <c r="G19" s="40">
        <f t="shared" si="6"/>
        <v>87.8</v>
      </c>
      <c r="H19" s="41">
        <f t="shared" si="7"/>
        <v>21.95</v>
      </c>
      <c r="I19" s="85">
        <v>8</v>
      </c>
      <c r="J19" s="86">
        <f t="shared" si="8"/>
        <v>86</v>
      </c>
      <c r="K19" s="87">
        <v>10</v>
      </c>
      <c r="L19" s="86">
        <f t="shared" si="9"/>
        <v>95</v>
      </c>
      <c r="M19" s="87">
        <v>10</v>
      </c>
      <c r="N19" s="86">
        <f t="shared" si="10"/>
        <v>95</v>
      </c>
      <c r="O19" s="88">
        <v>100</v>
      </c>
      <c r="P19" s="86">
        <f t="shared" si="11"/>
        <v>95</v>
      </c>
      <c r="Q19" s="89">
        <f t="shared" si="12"/>
        <v>92.75</v>
      </c>
      <c r="R19" s="90">
        <f t="shared" si="13"/>
        <v>4.6375000000000002</v>
      </c>
      <c r="S19" s="91">
        <v>10</v>
      </c>
      <c r="T19" s="48">
        <f t="shared" si="14"/>
        <v>95</v>
      </c>
      <c r="U19" s="49">
        <v>10</v>
      </c>
      <c r="V19" s="48">
        <f t="shared" si="15"/>
        <v>95</v>
      </c>
      <c r="W19" s="49">
        <v>24</v>
      </c>
      <c r="X19" s="48">
        <f t="shared" si="16"/>
        <v>86</v>
      </c>
      <c r="Y19" s="50">
        <f t="shared" si="17"/>
        <v>92</v>
      </c>
      <c r="Z19" s="92">
        <f t="shared" si="18"/>
        <v>9.2000000000000011</v>
      </c>
      <c r="AA19" s="93">
        <v>85</v>
      </c>
      <c r="AB19" s="94">
        <f t="shared" si="40"/>
        <v>17.650000000000002</v>
      </c>
      <c r="AC19" s="95">
        <v>76</v>
      </c>
      <c r="AD19" s="55">
        <f t="shared" si="41"/>
        <v>84.2</v>
      </c>
      <c r="AE19" s="56">
        <f t="shared" si="19"/>
        <v>33.68</v>
      </c>
      <c r="AF19" s="57">
        <f t="shared" si="0"/>
        <v>87.117500000000007</v>
      </c>
      <c r="AG19" s="58">
        <f t="shared" si="20"/>
        <v>43.558750000000003</v>
      </c>
      <c r="AH19" s="59">
        <f t="shared" si="1"/>
        <v>1.79000000000003</v>
      </c>
      <c r="AI19" s="80">
        <v>5</v>
      </c>
      <c r="AJ19" s="81" t="str">
        <f t="shared" si="2"/>
        <v>DELA CRUZ, JUAN P.</v>
      </c>
      <c r="AK19" s="96">
        <v>30</v>
      </c>
      <c r="AL19" s="83">
        <f t="shared" si="21"/>
        <v>95</v>
      </c>
      <c r="AM19" s="84">
        <v>24</v>
      </c>
      <c r="AN19" s="83">
        <f t="shared" si="22"/>
        <v>86</v>
      </c>
      <c r="AO19" s="97">
        <f t="shared" si="23"/>
        <v>90.5</v>
      </c>
      <c r="AP19" s="98">
        <f t="shared" si="24"/>
        <v>22.625</v>
      </c>
      <c r="AQ19" s="85">
        <v>11</v>
      </c>
      <c r="AR19" s="86">
        <f t="shared" si="42"/>
        <v>74.75</v>
      </c>
      <c r="AS19" s="99">
        <v>10</v>
      </c>
      <c r="AT19" s="100">
        <f t="shared" si="25"/>
        <v>95</v>
      </c>
      <c r="AU19" s="99">
        <v>10</v>
      </c>
      <c r="AV19" s="100">
        <f t="shared" si="26"/>
        <v>95</v>
      </c>
      <c r="AW19" s="88">
        <v>100</v>
      </c>
      <c r="AX19" s="101">
        <f t="shared" si="27"/>
        <v>95</v>
      </c>
      <c r="AY19" s="89">
        <f t="shared" si="28"/>
        <v>89.9375</v>
      </c>
      <c r="AZ19" s="90">
        <f t="shared" si="29"/>
        <v>4.4968750000000002</v>
      </c>
      <c r="BA19" s="102">
        <v>10</v>
      </c>
      <c r="BB19" s="48">
        <f t="shared" si="30"/>
        <v>95</v>
      </c>
      <c r="BC19" s="49">
        <v>10</v>
      </c>
      <c r="BD19" s="48">
        <f t="shared" si="31"/>
        <v>95</v>
      </c>
      <c r="BE19" s="49">
        <v>10</v>
      </c>
      <c r="BF19" s="48">
        <f t="shared" si="32"/>
        <v>95</v>
      </c>
      <c r="BG19" s="50">
        <f t="shared" si="33"/>
        <v>95</v>
      </c>
      <c r="BH19" s="69">
        <f t="shared" si="34"/>
        <v>9.5</v>
      </c>
      <c r="BI19" s="103">
        <v>80</v>
      </c>
      <c r="BJ19" s="104">
        <f t="shared" si="43"/>
        <v>17.2</v>
      </c>
      <c r="BK19" s="95">
        <v>66</v>
      </c>
      <c r="BL19" s="105">
        <f t="shared" si="44"/>
        <v>79.7</v>
      </c>
      <c r="BM19" s="106">
        <f t="shared" si="35"/>
        <v>31.880000000000003</v>
      </c>
      <c r="BN19" s="75">
        <f t="shared" si="36"/>
        <v>85.701875000000001</v>
      </c>
      <c r="BO19" s="107">
        <f t="shared" si="37"/>
        <v>42.850937500000001</v>
      </c>
      <c r="BP19" s="108">
        <f t="shared" si="38"/>
        <v>86.409687500000004</v>
      </c>
      <c r="BQ19" s="109">
        <f t="shared" si="3"/>
        <v>1.8600000000000201</v>
      </c>
      <c r="BR19" s="79" t="str">
        <f t="shared" si="39"/>
        <v>PASSED</v>
      </c>
      <c r="BS19"/>
    </row>
    <row r="20" spans="1:71" ht="15" customHeight="1" x14ac:dyDescent="0.3">
      <c r="A20" s="80">
        <v>6</v>
      </c>
      <c r="B20" s="81" t="s">
        <v>46</v>
      </c>
      <c r="C20" s="82">
        <v>16.8</v>
      </c>
      <c r="D20" s="83">
        <f t="shared" si="4"/>
        <v>75.2</v>
      </c>
      <c r="E20" s="84">
        <v>8</v>
      </c>
      <c r="F20" s="83">
        <f t="shared" si="5"/>
        <v>62</v>
      </c>
      <c r="G20" s="40">
        <f t="shared" si="6"/>
        <v>68.599999999999994</v>
      </c>
      <c r="H20" s="41">
        <f t="shared" si="7"/>
        <v>17.149999999999999</v>
      </c>
      <c r="I20" s="85">
        <v>2</v>
      </c>
      <c r="J20" s="86">
        <f t="shared" si="8"/>
        <v>59</v>
      </c>
      <c r="K20" s="87">
        <v>10</v>
      </c>
      <c r="L20" s="86">
        <f t="shared" si="9"/>
        <v>95</v>
      </c>
      <c r="M20" s="87">
        <v>10</v>
      </c>
      <c r="N20" s="86">
        <f t="shared" si="10"/>
        <v>95</v>
      </c>
      <c r="O20" s="88">
        <v>90</v>
      </c>
      <c r="P20" s="86">
        <f t="shared" si="11"/>
        <v>90.5</v>
      </c>
      <c r="Q20" s="89">
        <f t="shared" si="12"/>
        <v>84.875</v>
      </c>
      <c r="R20" s="90">
        <f t="shared" si="13"/>
        <v>4.2437500000000004</v>
      </c>
      <c r="S20" s="91">
        <v>0</v>
      </c>
      <c r="T20" s="48">
        <f t="shared" si="14"/>
        <v>50</v>
      </c>
      <c r="U20" s="49">
        <v>0</v>
      </c>
      <c r="V20" s="48">
        <f t="shared" si="15"/>
        <v>50</v>
      </c>
      <c r="W20" s="49">
        <v>28</v>
      </c>
      <c r="X20" s="48">
        <f t="shared" si="16"/>
        <v>92</v>
      </c>
      <c r="Y20" s="50">
        <f t="shared" si="17"/>
        <v>64</v>
      </c>
      <c r="Z20" s="92">
        <f t="shared" si="18"/>
        <v>6.4</v>
      </c>
      <c r="AA20" s="93">
        <v>75</v>
      </c>
      <c r="AB20" s="94">
        <f t="shared" si="40"/>
        <v>16.75</v>
      </c>
      <c r="AC20" s="95">
        <v>58</v>
      </c>
      <c r="AD20" s="55">
        <f t="shared" si="41"/>
        <v>76.099999999999994</v>
      </c>
      <c r="AE20" s="56">
        <f t="shared" si="19"/>
        <v>30.439999999999998</v>
      </c>
      <c r="AF20" s="57">
        <f t="shared" si="0"/>
        <v>74.983749999999986</v>
      </c>
      <c r="AG20" s="58">
        <f t="shared" si="20"/>
        <v>37.491874999999993</v>
      </c>
      <c r="AH20" s="59">
        <f t="shared" si="1"/>
        <v>3.01</v>
      </c>
      <c r="AI20" s="80">
        <v>6</v>
      </c>
      <c r="AJ20" s="81" t="str">
        <f t="shared" si="2"/>
        <v>DELA CRUZ, JUAN P.</v>
      </c>
      <c r="AK20" s="96">
        <v>30</v>
      </c>
      <c r="AL20" s="83">
        <f t="shared" si="21"/>
        <v>95</v>
      </c>
      <c r="AM20" s="84">
        <v>11</v>
      </c>
      <c r="AN20" s="83">
        <f t="shared" si="22"/>
        <v>66.5</v>
      </c>
      <c r="AO20" s="97">
        <f t="shared" si="23"/>
        <v>80.75</v>
      </c>
      <c r="AP20" s="98">
        <f t="shared" si="24"/>
        <v>20.1875</v>
      </c>
      <c r="AQ20" s="85">
        <v>20</v>
      </c>
      <c r="AR20" s="86">
        <f t="shared" si="42"/>
        <v>95</v>
      </c>
      <c r="AS20" s="99">
        <v>10</v>
      </c>
      <c r="AT20" s="100">
        <f t="shared" si="25"/>
        <v>95</v>
      </c>
      <c r="AU20" s="99">
        <v>0</v>
      </c>
      <c r="AV20" s="100">
        <f t="shared" si="26"/>
        <v>50</v>
      </c>
      <c r="AW20" s="88">
        <v>90</v>
      </c>
      <c r="AX20" s="101">
        <f t="shared" si="27"/>
        <v>90.5</v>
      </c>
      <c r="AY20" s="89">
        <f t="shared" si="28"/>
        <v>82.625</v>
      </c>
      <c r="AZ20" s="90">
        <f t="shared" si="29"/>
        <v>4.1312500000000005</v>
      </c>
      <c r="BA20" s="102">
        <v>10</v>
      </c>
      <c r="BB20" s="48">
        <f t="shared" si="30"/>
        <v>95</v>
      </c>
      <c r="BC20" s="49">
        <v>10</v>
      </c>
      <c r="BD20" s="48">
        <f t="shared" si="31"/>
        <v>95</v>
      </c>
      <c r="BE20" s="49">
        <v>10</v>
      </c>
      <c r="BF20" s="48">
        <f t="shared" si="32"/>
        <v>95</v>
      </c>
      <c r="BG20" s="50">
        <f t="shared" si="33"/>
        <v>95</v>
      </c>
      <c r="BH20" s="69">
        <f t="shared" si="34"/>
        <v>9.5</v>
      </c>
      <c r="BI20" s="103">
        <v>75</v>
      </c>
      <c r="BJ20" s="104">
        <f t="shared" si="43"/>
        <v>16.75</v>
      </c>
      <c r="BK20" s="95">
        <v>70</v>
      </c>
      <c r="BL20" s="105">
        <f t="shared" si="44"/>
        <v>81.5</v>
      </c>
      <c r="BM20" s="106">
        <f t="shared" si="35"/>
        <v>32.6</v>
      </c>
      <c r="BN20" s="75">
        <f t="shared" si="36"/>
        <v>83.168750000000003</v>
      </c>
      <c r="BO20" s="107">
        <f t="shared" si="37"/>
        <v>41.584375000000001</v>
      </c>
      <c r="BP20" s="108">
        <f t="shared" si="38"/>
        <v>79.076249999999987</v>
      </c>
      <c r="BQ20" s="109">
        <f t="shared" si="3"/>
        <v>2.6000000000000099</v>
      </c>
      <c r="BR20" s="79" t="str">
        <f t="shared" si="39"/>
        <v>PASSED</v>
      </c>
      <c r="BS20"/>
    </row>
    <row r="21" spans="1:71" ht="15" customHeight="1" x14ac:dyDescent="0.3">
      <c r="A21" s="80">
        <v>7</v>
      </c>
      <c r="B21" s="81" t="s">
        <v>46</v>
      </c>
      <c r="C21" s="82">
        <v>23.4</v>
      </c>
      <c r="D21" s="83">
        <f t="shared" si="4"/>
        <v>85.1</v>
      </c>
      <c r="E21" s="84">
        <v>15</v>
      </c>
      <c r="F21" s="83">
        <f t="shared" si="5"/>
        <v>72.5</v>
      </c>
      <c r="G21" s="40">
        <f t="shared" si="6"/>
        <v>78.8</v>
      </c>
      <c r="H21" s="41">
        <f t="shared" si="7"/>
        <v>19.7</v>
      </c>
      <c r="I21" s="85">
        <v>10</v>
      </c>
      <c r="J21" s="86">
        <f t="shared" si="8"/>
        <v>95</v>
      </c>
      <c r="K21" s="87">
        <v>10</v>
      </c>
      <c r="L21" s="86">
        <f t="shared" si="9"/>
        <v>95</v>
      </c>
      <c r="M21" s="87">
        <v>10</v>
      </c>
      <c r="N21" s="86">
        <f t="shared" si="10"/>
        <v>95</v>
      </c>
      <c r="O21" s="88">
        <v>95</v>
      </c>
      <c r="P21" s="86">
        <f t="shared" si="11"/>
        <v>92.75</v>
      </c>
      <c r="Q21" s="89">
        <f t="shared" si="12"/>
        <v>94.4375</v>
      </c>
      <c r="R21" s="90">
        <f t="shared" si="13"/>
        <v>4.7218749999999998</v>
      </c>
      <c r="S21" s="91">
        <v>10</v>
      </c>
      <c r="T21" s="48">
        <f t="shared" si="14"/>
        <v>95</v>
      </c>
      <c r="U21" s="49">
        <v>0</v>
      </c>
      <c r="V21" s="48">
        <f t="shared" si="15"/>
        <v>50</v>
      </c>
      <c r="W21" s="49">
        <v>29</v>
      </c>
      <c r="X21" s="48">
        <f t="shared" si="16"/>
        <v>93.5</v>
      </c>
      <c r="Y21" s="50">
        <f t="shared" si="17"/>
        <v>79.5</v>
      </c>
      <c r="Z21" s="92">
        <f t="shared" si="18"/>
        <v>7.95</v>
      </c>
      <c r="AA21" s="93">
        <v>70</v>
      </c>
      <c r="AB21" s="94">
        <f t="shared" si="40"/>
        <v>16.3</v>
      </c>
      <c r="AC21" s="95">
        <v>56</v>
      </c>
      <c r="AD21" s="55">
        <f t="shared" si="41"/>
        <v>75.2</v>
      </c>
      <c r="AE21" s="56">
        <f t="shared" si="19"/>
        <v>30.080000000000002</v>
      </c>
      <c r="AF21" s="57">
        <f t="shared" si="0"/>
        <v>78.751874999999998</v>
      </c>
      <c r="AG21" s="58">
        <f t="shared" si="20"/>
        <v>39.375937499999999</v>
      </c>
      <c r="AH21" s="59">
        <f t="shared" si="1"/>
        <v>2.6300000000000101</v>
      </c>
      <c r="AI21" s="80">
        <v>7</v>
      </c>
      <c r="AJ21" s="81" t="str">
        <f t="shared" si="2"/>
        <v>DELA CRUZ, JUAN P.</v>
      </c>
      <c r="AK21" s="96">
        <v>30</v>
      </c>
      <c r="AL21" s="83">
        <f t="shared" si="21"/>
        <v>95</v>
      </c>
      <c r="AM21" s="84">
        <v>22</v>
      </c>
      <c r="AN21" s="83">
        <f t="shared" si="22"/>
        <v>83</v>
      </c>
      <c r="AO21" s="97">
        <f t="shared" si="23"/>
        <v>89</v>
      </c>
      <c r="AP21" s="98">
        <f t="shared" si="24"/>
        <v>22.25</v>
      </c>
      <c r="AQ21" s="85">
        <v>15</v>
      </c>
      <c r="AR21" s="86">
        <f t="shared" si="42"/>
        <v>83.75</v>
      </c>
      <c r="AS21" s="99">
        <v>10</v>
      </c>
      <c r="AT21" s="100">
        <f t="shared" si="25"/>
        <v>95</v>
      </c>
      <c r="AU21" s="99">
        <v>10</v>
      </c>
      <c r="AV21" s="100">
        <f t="shared" si="26"/>
        <v>95</v>
      </c>
      <c r="AW21" s="88">
        <v>100</v>
      </c>
      <c r="AX21" s="101">
        <f t="shared" si="27"/>
        <v>95</v>
      </c>
      <c r="AY21" s="89">
        <f t="shared" si="28"/>
        <v>92.1875</v>
      </c>
      <c r="AZ21" s="90">
        <f t="shared" si="29"/>
        <v>4.609375</v>
      </c>
      <c r="BA21" s="102">
        <v>10</v>
      </c>
      <c r="BB21" s="48">
        <f t="shared" si="30"/>
        <v>95</v>
      </c>
      <c r="BC21" s="49">
        <v>10</v>
      </c>
      <c r="BD21" s="48">
        <f t="shared" si="31"/>
        <v>95</v>
      </c>
      <c r="BE21" s="49">
        <v>10</v>
      </c>
      <c r="BF21" s="48">
        <f t="shared" si="32"/>
        <v>95</v>
      </c>
      <c r="BG21" s="50">
        <f t="shared" si="33"/>
        <v>95</v>
      </c>
      <c r="BH21" s="69">
        <f t="shared" si="34"/>
        <v>9.5</v>
      </c>
      <c r="BI21" s="103">
        <v>75</v>
      </c>
      <c r="BJ21" s="104">
        <f t="shared" si="43"/>
        <v>16.75</v>
      </c>
      <c r="BK21" s="95">
        <v>72</v>
      </c>
      <c r="BL21" s="105">
        <f t="shared" si="44"/>
        <v>82.4</v>
      </c>
      <c r="BM21" s="106">
        <f t="shared" si="35"/>
        <v>32.96</v>
      </c>
      <c r="BN21" s="75">
        <f t="shared" si="36"/>
        <v>86.069375000000008</v>
      </c>
      <c r="BO21" s="107">
        <f t="shared" si="37"/>
        <v>43.034687500000004</v>
      </c>
      <c r="BP21" s="108">
        <f t="shared" si="38"/>
        <v>82.41062500000001</v>
      </c>
      <c r="BQ21" s="109">
        <f t="shared" si="3"/>
        <v>2.2600000000000202</v>
      </c>
      <c r="BR21" s="79" t="str">
        <f t="shared" si="39"/>
        <v>PASSED</v>
      </c>
      <c r="BS21"/>
    </row>
    <row r="22" spans="1:71" ht="15" customHeight="1" x14ac:dyDescent="0.3">
      <c r="A22" s="80">
        <v>8</v>
      </c>
      <c r="B22" s="81" t="s">
        <v>46</v>
      </c>
      <c r="C22" s="82">
        <v>15.6</v>
      </c>
      <c r="D22" s="83">
        <f t="shared" si="4"/>
        <v>73.400000000000006</v>
      </c>
      <c r="E22" s="84">
        <v>13</v>
      </c>
      <c r="F22" s="83">
        <f t="shared" si="5"/>
        <v>69.5</v>
      </c>
      <c r="G22" s="40">
        <f t="shared" si="6"/>
        <v>71.45</v>
      </c>
      <c r="H22" s="41">
        <f t="shared" si="7"/>
        <v>17.862500000000001</v>
      </c>
      <c r="I22" s="85">
        <v>2</v>
      </c>
      <c r="J22" s="86">
        <f t="shared" si="8"/>
        <v>59</v>
      </c>
      <c r="K22" s="87">
        <v>10</v>
      </c>
      <c r="L22" s="86">
        <f t="shared" si="9"/>
        <v>95</v>
      </c>
      <c r="M22" s="87">
        <v>10</v>
      </c>
      <c r="N22" s="86">
        <f t="shared" si="10"/>
        <v>95</v>
      </c>
      <c r="O22" s="88">
        <v>95</v>
      </c>
      <c r="P22" s="86">
        <f t="shared" si="11"/>
        <v>92.75</v>
      </c>
      <c r="Q22" s="89">
        <f t="shared" si="12"/>
        <v>85.4375</v>
      </c>
      <c r="R22" s="90">
        <f t="shared" si="13"/>
        <v>4.2718750000000005</v>
      </c>
      <c r="S22" s="91">
        <v>10</v>
      </c>
      <c r="T22" s="48">
        <f t="shared" si="14"/>
        <v>95</v>
      </c>
      <c r="U22" s="49">
        <v>0</v>
      </c>
      <c r="V22" s="48">
        <f t="shared" si="15"/>
        <v>50</v>
      </c>
      <c r="W22" s="49">
        <v>16</v>
      </c>
      <c r="X22" s="48">
        <f t="shared" si="16"/>
        <v>74</v>
      </c>
      <c r="Y22" s="50">
        <f t="shared" si="17"/>
        <v>73</v>
      </c>
      <c r="Z22" s="92">
        <f t="shared" si="18"/>
        <v>7.3000000000000007</v>
      </c>
      <c r="AA22" s="93">
        <v>90</v>
      </c>
      <c r="AB22" s="94">
        <f t="shared" si="40"/>
        <v>18.100000000000001</v>
      </c>
      <c r="AC22" s="95">
        <v>40</v>
      </c>
      <c r="AD22" s="55">
        <f t="shared" si="41"/>
        <v>68</v>
      </c>
      <c r="AE22" s="56">
        <f t="shared" si="19"/>
        <v>27.200000000000003</v>
      </c>
      <c r="AF22" s="57">
        <f t="shared" si="0"/>
        <v>74.734375</v>
      </c>
      <c r="AG22" s="58">
        <f t="shared" si="20"/>
        <v>37.3671875</v>
      </c>
      <c r="AH22" s="59">
        <f t="shared" si="1"/>
        <v>3.03</v>
      </c>
      <c r="AI22" s="80">
        <v>8</v>
      </c>
      <c r="AJ22" s="81" t="str">
        <f t="shared" si="2"/>
        <v>DELA CRUZ, JUAN P.</v>
      </c>
      <c r="AK22" s="96">
        <v>30</v>
      </c>
      <c r="AL22" s="83">
        <f t="shared" si="21"/>
        <v>95</v>
      </c>
      <c r="AM22" s="84">
        <v>22</v>
      </c>
      <c r="AN22" s="83">
        <f t="shared" si="22"/>
        <v>83</v>
      </c>
      <c r="AO22" s="97">
        <f t="shared" si="23"/>
        <v>89</v>
      </c>
      <c r="AP22" s="98">
        <f t="shared" si="24"/>
        <v>22.25</v>
      </c>
      <c r="AQ22" s="85">
        <v>6</v>
      </c>
      <c r="AR22" s="86">
        <f t="shared" si="42"/>
        <v>63.5</v>
      </c>
      <c r="AS22" s="99">
        <v>10</v>
      </c>
      <c r="AT22" s="100">
        <f t="shared" si="25"/>
        <v>95</v>
      </c>
      <c r="AU22" s="99">
        <v>10</v>
      </c>
      <c r="AV22" s="100">
        <f t="shared" si="26"/>
        <v>95</v>
      </c>
      <c r="AW22" s="88">
        <v>95</v>
      </c>
      <c r="AX22" s="101">
        <f t="shared" si="27"/>
        <v>92.75</v>
      </c>
      <c r="AY22" s="89">
        <f t="shared" si="28"/>
        <v>86.5625</v>
      </c>
      <c r="AZ22" s="90">
        <f t="shared" si="29"/>
        <v>4.328125</v>
      </c>
      <c r="BA22" s="102">
        <v>10</v>
      </c>
      <c r="BB22" s="48">
        <f t="shared" si="30"/>
        <v>95</v>
      </c>
      <c r="BC22" s="49">
        <v>10</v>
      </c>
      <c r="BD22" s="48">
        <f t="shared" si="31"/>
        <v>95</v>
      </c>
      <c r="BE22" s="49">
        <v>10</v>
      </c>
      <c r="BF22" s="48">
        <f t="shared" si="32"/>
        <v>95</v>
      </c>
      <c r="BG22" s="50">
        <f t="shared" si="33"/>
        <v>95</v>
      </c>
      <c r="BH22" s="69">
        <f t="shared" si="34"/>
        <v>9.5</v>
      </c>
      <c r="BI22" s="103">
        <v>85</v>
      </c>
      <c r="BJ22" s="104">
        <f t="shared" si="43"/>
        <v>17.650000000000002</v>
      </c>
      <c r="BK22" s="95">
        <v>80</v>
      </c>
      <c r="BL22" s="105">
        <f t="shared" si="44"/>
        <v>86</v>
      </c>
      <c r="BM22" s="106">
        <f t="shared" si="35"/>
        <v>34.4</v>
      </c>
      <c r="BN22" s="75">
        <f t="shared" si="36"/>
        <v>88.128125000000011</v>
      </c>
      <c r="BO22" s="107">
        <f t="shared" si="37"/>
        <v>44.064062500000006</v>
      </c>
      <c r="BP22" s="108">
        <f t="shared" si="38"/>
        <v>81.431250000000006</v>
      </c>
      <c r="BQ22" s="109">
        <f t="shared" si="3"/>
        <v>2.3600000000000101</v>
      </c>
      <c r="BR22" s="79" t="str">
        <f t="shared" si="39"/>
        <v>PASSED</v>
      </c>
      <c r="BS22"/>
    </row>
    <row r="23" spans="1:71" ht="15" customHeight="1" x14ac:dyDescent="0.3">
      <c r="A23" s="80">
        <v>9</v>
      </c>
      <c r="B23" s="81" t="s">
        <v>46</v>
      </c>
      <c r="C23" s="82">
        <v>29.4</v>
      </c>
      <c r="D23" s="83">
        <f t="shared" si="4"/>
        <v>94.1</v>
      </c>
      <c r="E23" s="84">
        <v>22</v>
      </c>
      <c r="F23" s="83">
        <f t="shared" si="5"/>
        <v>83</v>
      </c>
      <c r="G23" s="40">
        <f t="shared" si="6"/>
        <v>88.55</v>
      </c>
      <c r="H23" s="41">
        <f t="shared" si="7"/>
        <v>22.137499999999999</v>
      </c>
      <c r="I23" s="85">
        <v>10</v>
      </c>
      <c r="J23" s="86">
        <f t="shared" si="8"/>
        <v>95</v>
      </c>
      <c r="K23" s="87">
        <v>10</v>
      </c>
      <c r="L23" s="86">
        <f t="shared" si="9"/>
        <v>95</v>
      </c>
      <c r="M23" s="87">
        <v>10</v>
      </c>
      <c r="N23" s="86">
        <f t="shared" si="10"/>
        <v>95</v>
      </c>
      <c r="O23" s="88">
        <v>100</v>
      </c>
      <c r="P23" s="86">
        <f t="shared" si="11"/>
        <v>95</v>
      </c>
      <c r="Q23" s="89">
        <f t="shared" si="12"/>
        <v>95</v>
      </c>
      <c r="R23" s="90">
        <f t="shared" si="13"/>
        <v>4.75</v>
      </c>
      <c r="S23" s="91">
        <v>10</v>
      </c>
      <c r="T23" s="48">
        <f t="shared" si="14"/>
        <v>95</v>
      </c>
      <c r="U23" s="49">
        <v>10</v>
      </c>
      <c r="V23" s="48">
        <f t="shared" si="15"/>
        <v>95</v>
      </c>
      <c r="W23" s="49">
        <v>29</v>
      </c>
      <c r="X23" s="48">
        <f t="shared" si="16"/>
        <v>93.5</v>
      </c>
      <c r="Y23" s="50">
        <f t="shared" si="17"/>
        <v>94.5</v>
      </c>
      <c r="Z23" s="92">
        <f t="shared" si="18"/>
        <v>9.4500000000000011</v>
      </c>
      <c r="AA23" s="93">
        <v>90</v>
      </c>
      <c r="AB23" s="94">
        <f t="shared" si="40"/>
        <v>18.100000000000001</v>
      </c>
      <c r="AC23" s="95">
        <v>86</v>
      </c>
      <c r="AD23" s="55">
        <f t="shared" si="41"/>
        <v>88.7</v>
      </c>
      <c r="AE23" s="56">
        <f t="shared" si="19"/>
        <v>35.480000000000004</v>
      </c>
      <c r="AF23" s="57">
        <f t="shared" si="0"/>
        <v>89.917500000000004</v>
      </c>
      <c r="AG23" s="58">
        <f t="shared" si="20"/>
        <v>44.958750000000002</v>
      </c>
      <c r="AH23" s="59">
        <f t="shared" si="1"/>
        <v>1.51000000000003</v>
      </c>
      <c r="AI23" s="80">
        <v>9</v>
      </c>
      <c r="AJ23" s="81" t="str">
        <f t="shared" si="2"/>
        <v>DELA CRUZ, JUAN P.</v>
      </c>
      <c r="AK23" s="96">
        <v>30</v>
      </c>
      <c r="AL23" s="83">
        <f t="shared" si="21"/>
        <v>95</v>
      </c>
      <c r="AM23" s="84">
        <v>23</v>
      </c>
      <c r="AN23" s="83">
        <f t="shared" si="22"/>
        <v>84.5</v>
      </c>
      <c r="AO23" s="97">
        <f t="shared" si="23"/>
        <v>89.75</v>
      </c>
      <c r="AP23" s="98">
        <f t="shared" si="24"/>
        <v>22.4375</v>
      </c>
      <c r="AQ23" s="85">
        <v>13</v>
      </c>
      <c r="AR23" s="86">
        <f t="shared" si="42"/>
        <v>79.25</v>
      </c>
      <c r="AS23" s="99">
        <v>10</v>
      </c>
      <c r="AT23" s="100">
        <f t="shared" si="25"/>
        <v>95</v>
      </c>
      <c r="AU23" s="99">
        <v>10</v>
      </c>
      <c r="AV23" s="100">
        <f t="shared" si="26"/>
        <v>95</v>
      </c>
      <c r="AW23" s="88">
        <v>95</v>
      </c>
      <c r="AX23" s="101">
        <f t="shared" si="27"/>
        <v>92.75</v>
      </c>
      <c r="AY23" s="89">
        <f t="shared" si="28"/>
        <v>90.5</v>
      </c>
      <c r="AZ23" s="90">
        <f t="shared" si="29"/>
        <v>4.5250000000000004</v>
      </c>
      <c r="BA23" s="102">
        <v>10</v>
      </c>
      <c r="BB23" s="48">
        <f t="shared" si="30"/>
        <v>95</v>
      </c>
      <c r="BC23" s="49">
        <v>10</v>
      </c>
      <c r="BD23" s="48">
        <f t="shared" si="31"/>
        <v>95</v>
      </c>
      <c r="BE23" s="49">
        <v>10</v>
      </c>
      <c r="BF23" s="48">
        <f t="shared" si="32"/>
        <v>95</v>
      </c>
      <c r="BG23" s="50">
        <f t="shared" si="33"/>
        <v>95</v>
      </c>
      <c r="BH23" s="69">
        <f t="shared" si="34"/>
        <v>9.5</v>
      </c>
      <c r="BI23" s="103">
        <v>85</v>
      </c>
      <c r="BJ23" s="104">
        <f t="shared" si="43"/>
        <v>17.650000000000002</v>
      </c>
      <c r="BK23" s="95">
        <v>80</v>
      </c>
      <c r="BL23" s="105">
        <f t="shared" si="44"/>
        <v>86</v>
      </c>
      <c r="BM23" s="106">
        <f t="shared" si="35"/>
        <v>34.4</v>
      </c>
      <c r="BN23" s="75">
        <f t="shared" si="36"/>
        <v>88.512499999999989</v>
      </c>
      <c r="BO23" s="107">
        <f t="shared" si="37"/>
        <v>44.256249999999994</v>
      </c>
      <c r="BP23" s="108">
        <f t="shared" si="38"/>
        <v>89.215000000000003</v>
      </c>
      <c r="BQ23" s="109">
        <f t="shared" si="3"/>
        <v>1.58000000000003</v>
      </c>
      <c r="BR23" s="79" t="str">
        <f t="shared" si="39"/>
        <v>PASSED</v>
      </c>
      <c r="BS23"/>
    </row>
    <row r="24" spans="1:71" ht="15" customHeight="1" x14ac:dyDescent="0.3">
      <c r="A24" s="80">
        <v>10</v>
      </c>
      <c r="B24" s="81" t="s">
        <v>46</v>
      </c>
      <c r="C24" s="82">
        <v>18</v>
      </c>
      <c r="D24" s="83">
        <f t="shared" si="4"/>
        <v>77</v>
      </c>
      <c r="E24" s="84">
        <v>8</v>
      </c>
      <c r="F24" s="83">
        <f t="shared" si="5"/>
        <v>62</v>
      </c>
      <c r="G24" s="40">
        <f t="shared" si="6"/>
        <v>69.5</v>
      </c>
      <c r="H24" s="41">
        <f t="shared" si="7"/>
        <v>17.375</v>
      </c>
      <c r="I24" s="85">
        <v>7</v>
      </c>
      <c r="J24" s="86">
        <f t="shared" si="8"/>
        <v>81.5</v>
      </c>
      <c r="K24" s="87">
        <v>10</v>
      </c>
      <c r="L24" s="86">
        <f t="shared" si="9"/>
        <v>95</v>
      </c>
      <c r="M24" s="87">
        <v>10</v>
      </c>
      <c r="N24" s="86">
        <f t="shared" si="10"/>
        <v>95</v>
      </c>
      <c r="O24" s="88">
        <v>95</v>
      </c>
      <c r="P24" s="86">
        <f t="shared" si="11"/>
        <v>92.75</v>
      </c>
      <c r="Q24" s="89">
        <f t="shared" si="12"/>
        <v>91.0625</v>
      </c>
      <c r="R24" s="90">
        <f t="shared" si="13"/>
        <v>4.5531250000000005</v>
      </c>
      <c r="S24" s="91">
        <v>6</v>
      </c>
      <c r="T24" s="48">
        <f t="shared" si="14"/>
        <v>77</v>
      </c>
      <c r="U24" s="49">
        <v>10</v>
      </c>
      <c r="V24" s="48">
        <f t="shared" si="15"/>
        <v>95</v>
      </c>
      <c r="W24" s="49">
        <v>14</v>
      </c>
      <c r="X24" s="48">
        <f t="shared" si="16"/>
        <v>71</v>
      </c>
      <c r="Y24" s="50">
        <f t="shared" si="17"/>
        <v>81</v>
      </c>
      <c r="Z24" s="92">
        <f t="shared" si="18"/>
        <v>8.1</v>
      </c>
      <c r="AA24" s="93">
        <v>70</v>
      </c>
      <c r="AB24" s="94">
        <f t="shared" si="40"/>
        <v>16.3</v>
      </c>
      <c r="AC24" s="95">
        <v>72</v>
      </c>
      <c r="AD24" s="55">
        <f t="shared" si="41"/>
        <v>82.4</v>
      </c>
      <c r="AE24" s="56">
        <f t="shared" si="19"/>
        <v>32.96</v>
      </c>
      <c r="AF24" s="57">
        <f t="shared" si="0"/>
        <v>79.288125000000008</v>
      </c>
      <c r="AG24" s="58">
        <f t="shared" si="20"/>
        <v>39.644062500000004</v>
      </c>
      <c r="AH24" s="59">
        <f t="shared" si="1"/>
        <v>2.5800000000000098</v>
      </c>
      <c r="AI24" s="80">
        <v>10</v>
      </c>
      <c r="AJ24" s="81" t="str">
        <f t="shared" si="2"/>
        <v>DELA CRUZ, JUAN P.</v>
      </c>
      <c r="AK24" s="96">
        <v>30</v>
      </c>
      <c r="AL24" s="83">
        <f t="shared" si="21"/>
        <v>95</v>
      </c>
      <c r="AM24" s="84">
        <v>25</v>
      </c>
      <c r="AN24" s="83">
        <f t="shared" si="22"/>
        <v>87.5</v>
      </c>
      <c r="AO24" s="97">
        <f t="shared" si="23"/>
        <v>91.25</v>
      </c>
      <c r="AP24" s="98">
        <f t="shared" si="24"/>
        <v>22.8125</v>
      </c>
      <c r="AQ24" s="85">
        <v>12</v>
      </c>
      <c r="AR24" s="86">
        <f t="shared" si="42"/>
        <v>77</v>
      </c>
      <c r="AS24" s="99">
        <v>10</v>
      </c>
      <c r="AT24" s="100">
        <f t="shared" si="25"/>
        <v>95</v>
      </c>
      <c r="AU24" s="99">
        <v>10</v>
      </c>
      <c r="AV24" s="100">
        <f t="shared" si="26"/>
        <v>95</v>
      </c>
      <c r="AW24" s="88">
        <v>95</v>
      </c>
      <c r="AX24" s="101">
        <f t="shared" si="27"/>
        <v>92.75</v>
      </c>
      <c r="AY24" s="89">
        <f t="shared" si="28"/>
        <v>89.9375</v>
      </c>
      <c r="AZ24" s="90">
        <f t="shared" si="29"/>
        <v>4.4968750000000002</v>
      </c>
      <c r="BA24" s="102">
        <v>10</v>
      </c>
      <c r="BB24" s="48">
        <f t="shared" si="30"/>
        <v>95</v>
      </c>
      <c r="BC24" s="49">
        <v>10</v>
      </c>
      <c r="BD24" s="48">
        <f t="shared" si="31"/>
        <v>95</v>
      </c>
      <c r="BE24" s="49">
        <v>10</v>
      </c>
      <c r="BF24" s="48">
        <f t="shared" si="32"/>
        <v>95</v>
      </c>
      <c r="BG24" s="50">
        <f t="shared" si="33"/>
        <v>95</v>
      </c>
      <c r="BH24" s="69">
        <f t="shared" si="34"/>
        <v>9.5</v>
      </c>
      <c r="BI24" s="103">
        <v>85</v>
      </c>
      <c r="BJ24" s="104">
        <f t="shared" si="43"/>
        <v>17.650000000000002</v>
      </c>
      <c r="BK24" s="95">
        <v>78</v>
      </c>
      <c r="BL24" s="105">
        <f t="shared" si="44"/>
        <v>85.1</v>
      </c>
      <c r="BM24" s="106">
        <f t="shared" si="35"/>
        <v>34.04</v>
      </c>
      <c r="BN24" s="75">
        <f t="shared" si="36"/>
        <v>88.499375000000015</v>
      </c>
      <c r="BO24" s="107">
        <f t="shared" si="37"/>
        <v>44.249687500000007</v>
      </c>
      <c r="BP24" s="108">
        <f t="shared" si="38"/>
        <v>83.893750000000011</v>
      </c>
      <c r="BQ24" s="109">
        <f t="shared" si="3"/>
        <v>2.1200000000000201</v>
      </c>
      <c r="BR24" s="79" t="str">
        <f t="shared" si="39"/>
        <v>PASSED</v>
      </c>
      <c r="BS24"/>
    </row>
    <row r="25" spans="1:71" ht="15" customHeight="1" x14ac:dyDescent="0.3">
      <c r="A25" s="80">
        <v>11</v>
      </c>
      <c r="B25" s="81" t="s">
        <v>46</v>
      </c>
      <c r="C25" s="82">
        <v>29.4</v>
      </c>
      <c r="D25" s="83">
        <f t="shared" si="4"/>
        <v>94.1</v>
      </c>
      <c r="E25" s="84">
        <v>21</v>
      </c>
      <c r="F25" s="83">
        <f t="shared" si="5"/>
        <v>81.5</v>
      </c>
      <c r="G25" s="40">
        <f t="shared" si="6"/>
        <v>87.8</v>
      </c>
      <c r="H25" s="41">
        <f t="shared" si="7"/>
        <v>21.95</v>
      </c>
      <c r="I25" s="85">
        <v>6</v>
      </c>
      <c r="J25" s="86">
        <f t="shared" si="8"/>
        <v>77</v>
      </c>
      <c r="K25" s="87">
        <v>10</v>
      </c>
      <c r="L25" s="86">
        <f t="shared" si="9"/>
        <v>95</v>
      </c>
      <c r="M25" s="87">
        <v>10</v>
      </c>
      <c r="N25" s="86">
        <f t="shared" si="10"/>
        <v>95</v>
      </c>
      <c r="O25" s="88">
        <v>100</v>
      </c>
      <c r="P25" s="86">
        <f t="shared" si="11"/>
        <v>95</v>
      </c>
      <c r="Q25" s="89">
        <f t="shared" si="12"/>
        <v>90.5</v>
      </c>
      <c r="R25" s="90">
        <f t="shared" si="13"/>
        <v>4.5250000000000004</v>
      </c>
      <c r="S25" s="91">
        <v>10</v>
      </c>
      <c r="T25" s="48">
        <f t="shared" si="14"/>
        <v>95</v>
      </c>
      <c r="U25" s="49">
        <v>10</v>
      </c>
      <c r="V25" s="48">
        <f t="shared" si="15"/>
        <v>95</v>
      </c>
      <c r="W25" s="49">
        <v>29</v>
      </c>
      <c r="X25" s="48">
        <f t="shared" si="16"/>
        <v>93.5</v>
      </c>
      <c r="Y25" s="50">
        <f t="shared" si="17"/>
        <v>94.5</v>
      </c>
      <c r="Z25" s="92">
        <f t="shared" si="18"/>
        <v>9.4500000000000011</v>
      </c>
      <c r="AA25" s="93">
        <v>80</v>
      </c>
      <c r="AB25" s="94">
        <f t="shared" si="40"/>
        <v>17.2</v>
      </c>
      <c r="AC25" s="95">
        <v>82</v>
      </c>
      <c r="AD25" s="55">
        <f t="shared" si="41"/>
        <v>86.9</v>
      </c>
      <c r="AE25" s="56">
        <f t="shared" si="19"/>
        <v>34.760000000000005</v>
      </c>
      <c r="AF25" s="57">
        <f t="shared" si="0"/>
        <v>87.885000000000005</v>
      </c>
      <c r="AG25" s="58">
        <f t="shared" si="20"/>
        <v>43.942500000000003</v>
      </c>
      <c r="AH25" s="59">
        <f t="shared" si="1"/>
        <v>1.7200000000000299</v>
      </c>
      <c r="AI25" s="80">
        <v>11</v>
      </c>
      <c r="AJ25" s="81" t="str">
        <f t="shared" si="2"/>
        <v>DELA CRUZ, JUAN P.</v>
      </c>
      <c r="AK25" s="96">
        <v>30</v>
      </c>
      <c r="AL25" s="83">
        <f t="shared" si="21"/>
        <v>95</v>
      </c>
      <c r="AM25" s="84">
        <v>21</v>
      </c>
      <c r="AN25" s="83">
        <f t="shared" si="22"/>
        <v>81.5</v>
      </c>
      <c r="AO25" s="97">
        <f t="shared" si="23"/>
        <v>88.25</v>
      </c>
      <c r="AP25" s="98">
        <f t="shared" si="24"/>
        <v>22.0625</v>
      </c>
      <c r="AQ25" s="85">
        <v>20</v>
      </c>
      <c r="AR25" s="86">
        <f t="shared" si="42"/>
        <v>95</v>
      </c>
      <c r="AS25" s="99">
        <v>10</v>
      </c>
      <c r="AT25" s="100">
        <f t="shared" si="25"/>
        <v>95</v>
      </c>
      <c r="AU25" s="99">
        <v>10</v>
      </c>
      <c r="AV25" s="100">
        <f t="shared" si="26"/>
        <v>95</v>
      </c>
      <c r="AW25" s="88">
        <v>90</v>
      </c>
      <c r="AX25" s="101">
        <f t="shared" si="27"/>
        <v>90.5</v>
      </c>
      <c r="AY25" s="89">
        <f t="shared" si="28"/>
        <v>93.875</v>
      </c>
      <c r="AZ25" s="90">
        <f t="shared" si="29"/>
        <v>4.6937500000000005</v>
      </c>
      <c r="BA25" s="102">
        <v>10</v>
      </c>
      <c r="BB25" s="48">
        <f t="shared" si="30"/>
        <v>95</v>
      </c>
      <c r="BC25" s="49">
        <v>10</v>
      </c>
      <c r="BD25" s="48">
        <f t="shared" si="31"/>
        <v>95</v>
      </c>
      <c r="BE25" s="49">
        <v>10</v>
      </c>
      <c r="BF25" s="48">
        <f t="shared" si="32"/>
        <v>95</v>
      </c>
      <c r="BG25" s="50">
        <f t="shared" si="33"/>
        <v>95</v>
      </c>
      <c r="BH25" s="69">
        <f t="shared" si="34"/>
        <v>9.5</v>
      </c>
      <c r="BI25" s="103">
        <v>70</v>
      </c>
      <c r="BJ25" s="104">
        <f t="shared" si="43"/>
        <v>16.3</v>
      </c>
      <c r="BK25" s="95">
        <v>74</v>
      </c>
      <c r="BL25" s="105">
        <f t="shared" si="44"/>
        <v>83.3</v>
      </c>
      <c r="BM25" s="106">
        <f t="shared" si="35"/>
        <v>33.32</v>
      </c>
      <c r="BN25" s="75">
        <f t="shared" si="36"/>
        <v>85.876249999999999</v>
      </c>
      <c r="BO25" s="107">
        <f t="shared" si="37"/>
        <v>42.938124999999999</v>
      </c>
      <c r="BP25" s="108">
        <f t="shared" si="38"/>
        <v>86.880625000000009</v>
      </c>
      <c r="BQ25" s="109">
        <f t="shared" si="3"/>
        <v>1.82000000000002</v>
      </c>
      <c r="BR25" s="79" t="str">
        <f t="shared" si="39"/>
        <v>PASSED</v>
      </c>
      <c r="BS25"/>
    </row>
    <row r="26" spans="1:71" ht="15" customHeight="1" x14ac:dyDescent="0.3">
      <c r="A26" s="80">
        <v>12</v>
      </c>
      <c r="B26" s="81" t="s">
        <v>46</v>
      </c>
      <c r="C26" s="82">
        <v>29.4</v>
      </c>
      <c r="D26" s="83">
        <f t="shared" si="4"/>
        <v>94.1</v>
      </c>
      <c r="E26" s="84">
        <v>12</v>
      </c>
      <c r="F26" s="83">
        <f t="shared" si="5"/>
        <v>68</v>
      </c>
      <c r="G26" s="40">
        <f t="shared" si="6"/>
        <v>81.05</v>
      </c>
      <c r="H26" s="41">
        <f t="shared" si="7"/>
        <v>20.262499999999999</v>
      </c>
      <c r="I26" s="85">
        <v>3</v>
      </c>
      <c r="J26" s="86">
        <f t="shared" si="8"/>
        <v>63.5</v>
      </c>
      <c r="K26" s="87">
        <v>10</v>
      </c>
      <c r="L26" s="86">
        <f t="shared" si="9"/>
        <v>95</v>
      </c>
      <c r="M26" s="87">
        <v>10</v>
      </c>
      <c r="N26" s="86">
        <f t="shared" si="10"/>
        <v>95</v>
      </c>
      <c r="O26" s="88">
        <v>95</v>
      </c>
      <c r="P26" s="86">
        <f t="shared" si="11"/>
        <v>92.75</v>
      </c>
      <c r="Q26" s="89">
        <f t="shared" si="12"/>
        <v>86.5625</v>
      </c>
      <c r="R26" s="90">
        <f t="shared" si="13"/>
        <v>4.328125</v>
      </c>
      <c r="S26" s="91">
        <v>10</v>
      </c>
      <c r="T26" s="48">
        <f t="shared" si="14"/>
        <v>95</v>
      </c>
      <c r="U26" s="49">
        <v>10</v>
      </c>
      <c r="V26" s="48">
        <f t="shared" si="15"/>
        <v>95</v>
      </c>
      <c r="W26" s="49">
        <v>29</v>
      </c>
      <c r="X26" s="48">
        <f t="shared" si="16"/>
        <v>93.5</v>
      </c>
      <c r="Y26" s="50">
        <f t="shared" si="17"/>
        <v>94.5</v>
      </c>
      <c r="Z26" s="92">
        <f t="shared" si="18"/>
        <v>9.4500000000000011</v>
      </c>
      <c r="AA26" s="93">
        <v>60</v>
      </c>
      <c r="AB26" s="94">
        <f t="shared" si="40"/>
        <v>15.4</v>
      </c>
      <c r="AC26" s="95">
        <v>40</v>
      </c>
      <c r="AD26" s="55">
        <f t="shared" si="41"/>
        <v>68</v>
      </c>
      <c r="AE26" s="56">
        <f t="shared" si="19"/>
        <v>27.200000000000003</v>
      </c>
      <c r="AF26" s="57">
        <f t="shared" si="0"/>
        <v>76.640625</v>
      </c>
      <c r="AG26" s="58">
        <f t="shared" si="20"/>
        <v>38.3203125</v>
      </c>
      <c r="AH26" s="59">
        <f t="shared" si="1"/>
        <v>2.84</v>
      </c>
      <c r="AI26" s="80">
        <v>12</v>
      </c>
      <c r="AJ26" s="81" t="str">
        <f t="shared" si="2"/>
        <v>DELA CRUZ, JUAN P.</v>
      </c>
      <c r="AK26" s="96">
        <v>30</v>
      </c>
      <c r="AL26" s="83">
        <f t="shared" si="21"/>
        <v>95</v>
      </c>
      <c r="AM26" s="84">
        <v>13</v>
      </c>
      <c r="AN26" s="83">
        <f t="shared" si="22"/>
        <v>69.5</v>
      </c>
      <c r="AO26" s="97">
        <f t="shared" si="23"/>
        <v>82.25</v>
      </c>
      <c r="AP26" s="98">
        <f t="shared" si="24"/>
        <v>20.5625</v>
      </c>
      <c r="AQ26" s="85">
        <v>3</v>
      </c>
      <c r="AR26" s="86">
        <f t="shared" si="42"/>
        <v>56.75</v>
      </c>
      <c r="AS26" s="99">
        <v>10</v>
      </c>
      <c r="AT26" s="100">
        <f t="shared" si="25"/>
        <v>95</v>
      </c>
      <c r="AU26" s="99">
        <v>10</v>
      </c>
      <c r="AV26" s="100">
        <f t="shared" si="26"/>
        <v>95</v>
      </c>
      <c r="AW26" s="88">
        <v>100</v>
      </c>
      <c r="AX26" s="101">
        <f t="shared" si="27"/>
        <v>95</v>
      </c>
      <c r="AY26" s="89">
        <f t="shared" si="28"/>
        <v>85.4375</v>
      </c>
      <c r="AZ26" s="90">
        <f t="shared" si="29"/>
        <v>4.2718750000000005</v>
      </c>
      <c r="BA26" s="102">
        <v>10</v>
      </c>
      <c r="BB26" s="48">
        <f t="shared" si="30"/>
        <v>95</v>
      </c>
      <c r="BC26" s="49">
        <v>10</v>
      </c>
      <c r="BD26" s="48">
        <f t="shared" si="31"/>
        <v>95</v>
      </c>
      <c r="BE26" s="49">
        <v>10</v>
      </c>
      <c r="BF26" s="48">
        <f t="shared" si="32"/>
        <v>95</v>
      </c>
      <c r="BG26" s="50">
        <f t="shared" si="33"/>
        <v>95</v>
      </c>
      <c r="BH26" s="69">
        <f t="shared" si="34"/>
        <v>9.5</v>
      </c>
      <c r="BI26" s="103">
        <v>80</v>
      </c>
      <c r="BJ26" s="104">
        <f t="shared" si="43"/>
        <v>17.2</v>
      </c>
      <c r="BK26" s="95">
        <v>72</v>
      </c>
      <c r="BL26" s="105">
        <f t="shared" si="44"/>
        <v>82.4</v>
      </c>
      <c r="BM26" s="106">
        <f t="shared" si="35"/>
        <v>32.96</v>
      </c>
      <c r="BN26" s="75">
        <f t="shared" si="36"/>
        <v>84.494374999999991</v>
      </c>
      <c r="BO26" s="107">
        <f t="shared" si="37"/>
        <v>42.247187499999995</v>
      </c>
      <c r="BP26" s="108">
        <f t="shared" si="38"/>
        <v>80.567499999999995</v>
      </c>
      <c r="BQ26" s="109">
        <f t="shared" si="3"/>
        <v>2.4500000000000099</v>
      </c>
      <c r="BR26" s="79" t="str">
        <f t="shared" si="39"/>
        <v>PASSED</v>
      </c>
      <c r="BS26"/>
    </row>
    <row r="27" spans="1:71" ht="15" customHeight="1" x14ac:dyDescent="0.3">
      <c r="A27" s="80">
        <v>13</v>
      </c>
      <c r="B27" s="81" t="s">
        <v>46</v>
      </c>
      <c r="C27" s="82">
        <v>21</v>
      </c>
      <c r="D27" s="83">
        <f t="shared" si="4"/>
        <v>81.5</v>
      </c>
      <c r="E27" s="84">
        <v>21</v>
      </c>
      <c r="F27" s="83">
        <f t="shared" si="5"/>
        <v>81.5</v>
      </c>
      <c r="G27" s="40">
        <f t="shared" si="6"/>
        <v>81.5</v>
      </c>
      <c r="H27" s="41">
        <f t="shared" si="7"/>
        <v>20.375</v>
      </c>
      <c r="I27" s="85">
        <v>3</v>
      </c>
      <c r="J27" s="86">
        <f t="shared" si="8"/>
        <v>63.5</v>
      </c>
      <c r="K27" s="87">
        <v>10</v>
      </c>
      <c r="L27" s="86">
        <f t="shared" si="9"/>
        <v>95</v>
      </c>
      <c r="M27" s="87">
        <v>10</v>
      </c>
      <c r="N27" s="86">
        <f t="shared" si="10"/>
        <v>95</v>
      </c>
      <c r="O27" s="88">
        <v>100</v>
      </c>
      <c r="P27" s="86">
        <f t="shared" si="11"/>
        <v>95</v>
      </c>
      <c r="Q27" s="89">
        <f t="shared" si="12"/>
        <v>87.125</v>
      </c>
      <c r="R27" s="90">
        <f t="shared" si="13"/>
        <v>4.3562500000000002</v>
      </c>
      <c r="S27" s="91">
        <v>10</v>
      </c>
      <c r="T27" s="48">
        <f t="shared" si="14"/>
        <v>95</v>
      </c>
      <c r="U27" s="49">
        <v>10</v>
      </c>
      <c r="V27" s="48">
        <f t="shared" si="15"/>
        <v>95</v>
      </c>
      <c r="W27" s="49">
        <v>15</v>
      </c>
      <c r="X27" s="48">
        <f t="shared" si="16"/>
        <v>72.5</v>
      </c>
      <c r="Y27" s="50">
        <f t="shared" si="17"/>
        <v>87.5</v>
      </c>
      <c r="Z27" s="92">
        <f t="shared" si="18"/>
        <v>8.75</v>
      </c>
      <c r="AA27" s="93">
        <v>70</v>
      </c>
      <c r="AB27" s="94">
        <f t="shared" si="40"/>
        <v>16.3</v>
      </c>
      <c r="AC27" s="95">
        <v>76</v>
      </c>
      <c r="AD27" s="55">
        <f t="shared" si="41"/>
        <v>84.2</v>
      </c>
      <c r="AE27" s="56">
        <f t="shared" si="19"/>
        <v>33.68</v>
      </c>
      <c r="AF27" s="57">
        <f t="shared" si="0"/>
        <v>83.461250000000007</v>
      </c>
      <c r="AG27" s="58">
        <f t="shared" si="20"/>
        <v>41.730625000000003</v>
      </c>
      <c r="AH27" s="59">
        <f t="shared" si="1"/>
        <v>2.1600000000000201</v>
      </c>
      <c r="AI27" s="80">
        <v>13</v>
      </c>
      <c r="AJ27" s="81" t="str">
        <f t="shared" si="2"/>
        <v>DELA CRUZ, JUAN P.</v>
      </c>
      <c r="AK27" s="96">
        <v>30</v>
      </c>
      <c r="AL27" s="83">
        <f t="shared" si="21"/>
        <v>95</v>
      </c>
      <c r="AM27" s="84">
        <v>24</v>
      </c>
      <c r="AN27" s="83">
        <f t="shared" si="22"/>
        <v>86</v>
      </c>
      <c r="AO27" s="97">
        <f t="shared" si="23"/>
        <v>90.5</v>
      </c>
      <c r="AP27" s="98">
        <f t="shared" si="24"/>
        <v>22.625</v>
      </c>
      <c r="AQ27" s="85">
        <v>5</v>
      </c>
      <c r="AR27" s="86">
        <f t="shared" si="42"/>
        <v>61.25</v>
      </c>
      <c r="AS27" s="99">
        <v>10</v>
      </c>
      <c r="AT27" s="100">
        <f t="shared" si="25"/>
        <v>95</v>
      </c>
      <c r="AU27" s="99">
        <v>10</v>
      </c>
      <c r="AV27" s="100">
        <f t="shared" si="26"/>
        <v>95</v>
      </c>
      <c r="AW27" s="88">
        <v>100</v>
      </c>
      <c r="AX27" s="101">
        <f t="shared" si="27"/>
        <v>95</v>
      </c>
      <c r="AY27" s="89">
        <f t="shared" si="28"/>
        <v>86.5625</v>
      </c>
      <c r="AZ27" s="90">
        <f t="shared" si="29"/>
        <v>4.328125</v>
      </c>
      <c r="BA27" s="102">
        <v>10</v>
      </c>
      <c r="BB27" s="48">
        <f t="shared" si="30"/>
        <v>95</v>
      </c>
      <c r="BC27" s="49">
        <v>10</v>
      </c>
      <c r="BD27" s="48">
        <f t="shared" si="31"/>
        <v>95</v>
      </c>
      <c r="BE27" s="49">
        <v>10</v>
      </c>
      <c r="BF27" s="48">
        <f t="shared" si="32"/>
        <v>95</v>
      </c>
      <c r="BG27" s="50">
        <f t="shared" si="33"/>
        <v>95</v>
      </c>
      <c r="BH27" s="69">
        <f t="shared" si="34"/>
        <v>9.5</v>
      </c>
      <c r="BI27" s="103">
        <v>75</v>
      </c>
      <c r="BJ27" s="104">
        <f t="shared" si="43"/>
        <v>16.75</v>
      </c>
      <c r="BK27" s="95">
        <v>80</v>
      </c>
      <c r="BL27" s="105">
        <f t="shared" si="44"/>
        <v>86</v>
      </c>
      <c r="BM27" s="106">
        <f t="shared" si="35"/>
        <v>34.4</v>
      </c>
      <c r="BN27" s="75">
        <f t="shared" si="36"/>
        <v>87.603125000000006</v>
      </c>
      <c r="BO27" s="107">
        <f t="shared" si="37"/>
        <v>43.801562500000003</v>
      </c>
      <c r="BP27" s="108">
        <f t="shared" si="38"/>
        <v>85.532187500000006</v>
      </c>
      <c r="BQ27" s="109">
        <f t="shared" si="3"/>
        <v>1.9500000000000199</v>
      </c>
      <c r="BR27" s="79" t="str">
        <f t="shared" si="39"/>
        <v>PASSED</v>
      </c>
      <c r="BS27"/>
    </row>
    <row r="28" spans="1:71" ht="15" customHeight="1" x14ac:dyDescent="0.3">
      <c r="A28" s="80">
        <v>14</v>
      </c>
      <c r="B28" s="81" t="s">
        <v>46</v>
      </c>
      <c r="C28" s="82">
        <v>29.4</v>
      </c>
      <c r="D28" s="83">
        <f t="shared" si="4"/>
        <v>94.1</v>
      </c>
      <c r="E28" s="84">
        <v>16</v>
      </c>
      <c r="F28" s="83">
        <f t="shared" si="5"/>
        <v>74</v>
      </c>
      <c r="G28" s="40">
        <f t="shared" si="6"/>
        <v>84.05</v>
      </c>
      <c r="H28" s="41">
        <f t="shared" si="7"/>
        <v>21.012499999999999</v>
      </c>
      <c r="I28" s="85">
        <v>8</v>
      </c>
      <c r="J28" s="86">
        <f t="shared" si="8"/>
        <v>86</v>
      </c>
      <c r="K28" s="87">
        <v>10</v>
      </c>
      <c r="L28" s="86">
        <f t="shared" si="9"/>
        <v>95</v>
      </c>
      <c r="M28" s="87">
        <v>10</v>
      </c>
      <c r="N28" s="86">
        <f t="shared" si="10"/>
        <v>95</v>
      </c>
      <c r="O28" s="88">
        <v>100</v>
      </c>
      <c r="P28" s="86">
        <f t="shared" si="11"/>
        <v>95</v>
      </c>
      <c r="Q28" s="89">
        <f t="shared" si="12"/>
        <v>92.75</v>
      </c>
      <c r="R28" s="90">
        <f t="shared" si="13"/>
        <v>4.6375000000000002</v>
      </c>
      <c r="S28" s="91">
        <v>10</v>
      </c>
      <c r="T28" s="48">
        <f t="shared" si="14"/>
        <v>95</v>
      </c>
      <c r="U28" s="49">
        <v>10</v>
      </c>
      <c r="V28" s="48">
        <f t="shared" si="15"/>
        <v>95</v>
      </c>
      <c r="W28" s="49">
        <v>29</v>
      </c>
      <c r="X28" s="48">
        <f t="shared" si="16"/>
        <v>93.5</v>
      </c>
      <c r="Y28" s="50">
        <f t="shared" si="17"/>
        <v>94.5</v>
      </c>
      <c r="Z28" s="92">
        <f t="shared" si="18"/>
        <v>9.4500000000000011</v>
      </c>
      <c r="AA28" s="93">
        <v>70</v>
      </c>
      <c r="AB28" s="94">
        <f t="shared" si="40"/>
        <v>16.3</v>
      </c>
      <c r="AC28" s="95">
        <v>66</v>
      </c>
      <c r="AD28" s="55">
        <f t="shared" si="41"/>
        <v>79.7</v>
      </c>
      <c r="AE28" s="56">
        <f t="shared" si="19"/>
        <v>31.880000000000003</v>
      </c>
      <c r="AF28" s="57">
        <f t="shared" si="0"/>
        <v>83.28</v>
      </c>
      <c r="AG28" s="58">
        <f t="shared" si="20"/>
        <v>41.64</v>
      </c>
      <c r="AH28" s="59">
        <f t="shared" si="1"/>
        <v>2.1800000000000201</v>
      </c>
      <c r="AI28" s="80">
        <v>14</v>
      </c>
      <c r="AJ28" s="81" t="str">
        <f t="shared" si="2"/>
        <v>DELA CRUZ, JUAN P.</v>
      </c>
      <c r="AK28" s="96">
        <v>30</v>
      </c>
      <c r="AL28" s="83">
        <f t="shared" si="21"/>
        <v>95</v>
      </c>
      <c r="AM28" s="84">
        <v>16</v>
      </c>
      <c r="AN28" s="83">
        <f t="shared" si="22"/>
        <v>74</v>
      </c>
      <c r="AO28" s="97">
        <f t="shared" si="23"/>
        <v>84.5</v>
      </c>
      <c r="AP28" s="98">
        <f t="shared" si="24"/>
        <v>21.125</v>
      </c>
      <c r="AQ28" s="85">
        <v>15</v>
      </c>
      <c r="AR28" s="86">
        <f t="shared" si="42"/>
        <v>83.75</v>
      </c>
      <c r="AS28" s="99">
        <v>10</v>
      </c>
      <c r="AT28" s="100">
        <f t="shared" si="25"/>
        <v>95</v>
      </c>
      <c r="AU28" s="99">
        <v>10</v>
      </c>
      <c r="AV28" s="100">
        <f t="shared" si="26"/>
        <v>95</v>
      </c>
      <c r="AW28" s="88">
        <v>100</v>
      </c>
      <c r="AX28" s="101">
        <f t="shared" si="27"/>
        <v>95</v>
      </c>
      <c r="AY28" s="89">
        <f t="shared" si="28"/>
        <v>92.1875</v>
      </c>
      <c r="AZ28" s="90">
        <f t="shared" si="29"/>
        <v>4.609375</v>
      </c>
      <c r="BA28" s="102">
        <v>10</v>
      </c>
      <c r="BB28" s="48">
        <f t="shared" si="30"/>
        <v>95</v>
      </c>
      <c r="BC28" s="49">
        <v>10</v>
      </c>
      <c r="BD28" s="48">
        <f t="shared" si="31"/>
        <v>95</v>
      </c>
      <c r="BE28" s="49">
        <v>10</v>
      </c>
      <c r="BF28" s="48">
        <f t="shared" si="32"/>
        <v>95</v>
      </c>
      <c r="BG28" s="50">
        <f t="shared" si="33"/>
        <v>95</v>
      </c>
      <c r="BH28" s="69">
        <f t="shared" si="34"/>
        <v>9.5</v>
      </c>
      <c r="BI28" s="103">
        <v>80</v>
      </c>
      <c r="BJ28" s="104">
        <f t="shared" si="43"/>
        <v>17.2</v>
      </c>
      <c r="BK28" s="95">
        <v>68</v>
      </c>
      <c r="BL28" s="105">
        <f t="shared" si="44"/>
        <v>80.599999999999994</v>
      </c>
      <c r="BM28" s="106">
        <f t="shared" si="35"/>
        <v>32.24</v>
      </c>
      <c r="BN28" s="75">
        <f t="shared" si="36"/>
        <v>84.674374999999998</v>
      </c>
      <c r="BO28" s="107">
        <f t="shared" si="37"/>
        <v>42.337187499999999</v>
      </c>
      <c r="BP28" s="108">
        <f t="shared" si="38"/>
        <v>83.977187499999999</v>
      </c>
      <c r="BQ28" s="109">
        <f t="shared" si="3"/>
        <v>2.1100000000000199</v>
      </c>
      <c r="BR28" s="79" t="str">
        <f t="shared" si="39"/>
        <v>PASSED</v>
      </c>
      <c r="BS28"/>
    </row>
    <row r="29" spans="1:71" ht="15" customHeight="1" x14ac:dyDescent="0.3">
      <c r="A29" s="80">
        <v>15</v>
      </c>
      <c r="B29" s="81" t="s">
        <v>46</v>
      </c>
      <c r="C29" s="82">
        <v>29.4</v>
      </c>
      <c r="D29" s="83">
        <f t="shared" si="4"/>
        <v>94.1</v>
      </c>
      <c r="E29" s="84">
        <v>21</v>
      </c>
      <c r="F29" s="83">
        <f t="shared" si="5"/>
        <v>81.5</v>
      </c>
      <c r="G29" s="40">
        <f t="shared" si="6"/>
        <v>87.8</v>
      </c>
      <c r="H29" s="41">
        <f t="shared" si="7"/>
        <v>21.95</v>
      </c>
      <c r="I29" s="85">
        <v>3</v>
      </c>
      <c r="J29" s="86">
        <f t="shared" si="8"/>
        <v>63.5</v>
      </c>
      <c r="K29" s="87">
        <v>10</v>
      </c>
      <c r="L29" s="86">
        <f t="shared" si="9"/>
        <v>95</v>
      </c>
      <c r="M29" s="87">
        <v>10</v>
      </c>
      <c r="N29" s="86">
        <f t="shared" si="10"/>
        <v>95</v>
      </c>
      <c r="O29" s="88">
        <v>100</v>
      </c>
      <c r="P29" s="86">
        <f t="shared" si="11"/>
        <v>95</v>
      </c>
      <c r="Q29" s="89">
        <f t="shared" si="12"/>
        <v>87.125</v>
      </c>
      <c r="R29" s="90">
        <f t="shared" si="13"/>
        <v>4.3562500000000002</v>
      </c>
      <c r="S29" s="91">
        <v>10</v>
      </c>
      <c r="T29" s="48">
        <f t="shared" si="14"/>
        <v>95</v>
      </c>
      <c r="U29" s="49">
        <v>10</v>
      </c>
      <c r="V29" s="48">
        <f t="shared" si="15"/>
        <v>95</v>
      </c>
      <c r="W29" s="49">
        <v>29</v>
      </c>
      <c r="X29" s="48">
        <f t="shared" si="16"/>
        <v>93.5</v>
      </c>
      <c r="Y29" s="50">
        <f t="shared" si="17"/>
        <v>94.5</v>
      </c>
      <c r="Z29" s="92">
        <f t="shared" si="18"/>
        <v>9.4500000000000011</v>
      </c>
      <c r="AA29" s="93">
        <v>85</v>
      </c>
      <c r="AB29" s="94">
        <f t="shared" si="40"/>
        <v>17.650000000000002</v>
      </c>
      <c r="AC29" s="95">
        <v>82</v>
      </c>
      <c r="AD29" s="55">
        <f t="shared" si="41"/>
        <v>86.9</v>
      </c>
      <c r="AE29" s="56">
        <f t="shared" si="19"/>
        <v>34.760000000000005</v>
      </c>
      <c r="AF29" s="57">
        <f t="shared" si="0"/>
        <v>88.166250000000005</v>
      </c>
      <c r="AG29" s="58">
        <f t="shared" si="20"/>
        <v>44.083125000000003</v>
      </c>
      <c r="AH29" s="59">
        <f t="shared" si="1"/>
        <v>1.6900000000000299</v>
      </c>
      <c r="AI29" s="80">
        <v>15</v>
      </c>
      <c r="AJ29" s="81" t="str">
        <f t="shared" si="2"/>
        <v>DELA CRUZ, JUAN P.</v>
      </c>
      <c r="AK29" s="96">
        <v>30</v>
      </c>
      <c r="AL29" s="83">
        <f t="shared" si="21"/>
        <v>95</v>
      </c>
      <c r="AM29" s="84">
        <v>20</v>
      </c>
      <c r="AN29" s="83">
        <f t="shared" si="22"/>
        <v>80</v>
      </c>
      <c r="AO29" s="97">
        <f t="shared" si="23"/>
        <v>87.5</v>
      </c>
      <c r="AP29" s="98">
        <f t="shared" si="24"/>
        <v>21.875</v>
      </c>
      <c r="AQ29" s="85">
        <v>16</v>
      </c>
      <c r="AR29" s="86">
        <f t="shared" si="42"/>
        <v>86</v>
      </c>
      <c r="AS29" s="99">
        <v>10</v>
      </c>
      <c r="AT29" s="100">
        <f t="shared" si="25"/>
        <v>95</v>
      </c>
      <c r="AU29" s="99">
        <v>10</v>
      </c>
      <c r="AV29" s="100">
        <f t="shared" si="26"/>
        <v>95</v>
      </c>
      <c r="AW29" s="88">
        <v>100</v>
      </c>
      <c r="AX29" s="101">
        <f t="shared" si="27"/>
        <v>95</v>
      </c>
      <c r="AY29" s="89">
        <f t="shared" si="28"/>
        <v>92.75</v>
      </c>
      <c r="AZ29" s="90">
        <f t="shared" si="29"/>
        <v>4.6375000000000002</v>
      </c>
      <c r="BA29" s="102">
        <v>10</v>
      </c>
      <c r="BB29" s="48">
        <f t="shared" si="30"/>
        <v>95</v>
      </c>
      <c r="BC29" s="49">
        <v>10</v>
      </c>
      <c r="BD29" s="48">
        <f t="shared" si="31"/>
        <v>95</v>
      </c>
      <c r="BE29" s="49">
        <v>10</v>
      </c>
      <c r="BF29" s="48">
        <f t="shared" si="32"/>
        <v>95</v>
      </c>
      <c r="BG29" s="50">
        <f t="shared" si="33"/>
        <v>95</v>
      </c>
      <c r="BH29" s="69">
        <f t="shared" si="34"/>
        <v>9.5</v>
      </c>
      <c r="BI29" s="103">
        <v>85</v>
      </c>
      <c r="BJ29" s="104">
        <f t="shared" si="43"/>
        <v>17.650000000000002</v>
      </c>
      <c r="BK29" s="95">
        <v>74</v>
      </c>
      <c r="BL29" s="105">
        <f t="shared" si="44"/>
        <v>83.3</v>
      </c>
      <c r="BM29" s="106">
        <f t="shared" si="35"/>
        <v>33.32</v>
      </c>
      <c r="BN29" s="75">
        <f t="shared" si="36"/>
        <v>86.982500000000016</v>
      </c>
      <c r="BO29" s="107">
        <f t="shared" si="37"/>
        <v>43.491250000000008</v>
      </c>
      <c r="BP29" s="108">
        <f t="shared" si="38"/>
        <v>87.574375000000003</v>
      </c>
      <c r="BQ29" s="109">
        <f t="shared" si="3"/>
        <v>1.75000000000003</v>
      </c>
      <c r="BR29" s="79" t="str">
        <f t="shared" si="39"/>
        <v>PASSED</v>
      </c>
      <c r="BS29"/>
    </row>
    <row r="30" spans="1:71" ht="15" customHeight="1" x14ac:dyDescent="0.3">
      <c r="A30" s="80">
        <v>16</v>
      </c>
      <c r="B30" s="81" t="s">
        <v>46</v>
      </c>
      <c r="C30" s="82">
        <v>30</v>
      </c>
      <c r="D30" s="83">
        <f t="shared" si="4"/>
        <v>95</v>
      </c>
      <c r="E30" s="84">
        <v>6</v>
      </c>
      <c r="F30" s="83">
        <f t="shared" si="5"/>
        <v>59</v>
      </c>
      <c r="G30" s="40">
        <f t="shared" si="6"/>
        <v>77</v>
      </c>
      <c r="H30" s="41">
        <f t="shared" si="7"/>
        <v>19.25</v>
      </c>
      <c r="I30" s="85">
        <v>2</v>
      </c>
      <c r="J30" s="86">
        <f t="shared" si="8"/>
        <v>59</v>
      </c>
      <c r="K30" s="87">
        <v>0</v>
      </c>
      <c r="L30" s="86">
        <f t="shared" si="9"/>
        <v>50</v>
      </c>
      <c r="M30" s="87">
        <v>0</v>
      </c>
      <c r="N30" s="86">
        <f t="shared" si="10"/>
        <v>50</v>
      </c>
      <c r="O30" s="88">
        <v>95</v>
      </c>
      <c r="P30" s="86">
        <f t="shared" si="11"/>
        <v>92.75</v>
      </c>
      <c r="Q30" s="89">
        <f t="shared" si="12"/>
        <v>62.9375</v>
      </c>
      <c r="R30" s="90">
        <f t="shared" si="13"/>
        <v>3.1468750000000001</v>
      </c>
      <c r="S30" s="91">
        <v>10</v>
      </c>
      <c r="T30" s="48">
        <f t="shared" si="14"/>
        <v>95</v>
      </c>
      <c r="U30" s="49">
        <v>10</v>
      </c>
      <c r="V30" s="48">
        <f t="shared" si="15"/>
        <v>95</v>
      </c>
      <c r="W30" s="49">
        <v>20</v>
      </c>
      <c r="X30" s="48">
        <f t="shared" si="16"/>
        <v>80</v>
      </c>
      <c r="Y30" s="50">
        <f t="shared" si="17"/>
        <v>90</v>
      </c>
      <c r="Z30" s="92">
        <f t="shared" si="18"/>
        <v>9</v>
      </c>
      <c r="AA30" s="93">
        <v>80</v>
      </c>
      <c r="AB30" s="94">
        <f t="shared" si="40"/>
        <v>17.2</v>
      </c>
      <c r="AC30" s="95">
        <v>36</v>
      </c>
      <c r="AD30" s="55">
        <f t="shared" si="41"/>
        <v>66.2</v>
      </c>
      <c r="AE30" s="56">
        <f t="shared" si="19"/>
        <v>26.480000000000004</v>
      </c>
      <c r="AF30" s="57">
        <f t="shared" si="0"/>
        <v>75.076875000000001</v>
      </c>
      <c r="AG30" s="58">
        <f t="shared" si="20"/>
        <v>37.538437500000001</v>
      </c>
      <c r="AH30" s="59">
        <f t="shared" si="1"/>
        <v>3</v>
      </c>
      <c r="AI30" s="80">
        <v>16</v>
      </c>
      <c r="AJ30" s="81" t="str">
        <f t="shared" si="2"/>
        <v>DELA CRUZ, JUAN P.</v>
      </c>
      <c r="AK30" s="96">
        <v>30</v>
      </c>
      <c r="AL30" s="83">
        <f t="shared" si="21"/>
        <v>95</v>
      </c>
      <c r="AM30" s="84">
        <v>9</v>
      </c>
      <c r="AN30" s="83">
        <f t="shared" si="22"/>
        <v>63.5</v>
      </c>
      <c r="AO30" s="97">
        <f t="shared" si="23"/>
        <v>79.25</v>
      </c>
      <c r="AP30" s="98">
        <f t="shared" si="24"/>
        <v>19.8125</v>
      </c>
      <c r="AQ30" s="85">
        <v>2</v>
      </c>
      <c r="AR30" s="86">
        <f t="shared" si="42"/>
        <v>54.5</v>
      </c>
      <c r="AS30" s="99">
        <v>10</v>
      </c>
      <c r="AT30" s="100">
        <f t="shared" si="25"/>
        <v>95</v>
      </c>
      <c r="AU30" s="99">
        <v>10</v>
      </c>
      <c r="AV30" s="100">
        <f t="shared" si="26"/>
        <v>95</v>
      </c>
      <c r="AW30" s="88">
        <v>100</v>
      </c>
      <c r="AX30" s="101">
        <f t="shared" si="27"/>
        <v>95</v>
      </c>
      <c r="AY30" s="89">
        <f t="shared" si="28"/>
        <v>84.875</v>
      </c>
      <c r="AZ30" s="90">
        <f t="shared" si="29"/>
        <v>4.2437500000000004</v>
      </c>
      <c r="BA30" s="102">
        <v>10</v>
      </c>
      <c r="BB30" s="48">
        <f t="shared" si="30"/>
        <v>95</v>
      </c>
      <c r="BC30" s="49">
        <v>10</v>
      </c>
      <c r="BD30" s="48">
        <f t="shared" si="31"/>
        <v>95</v>
      </c>
      <c r="BE30" s="49">
        <v>10</v>
      </c>
      <c r="BF30" s="48">
        <f t="shared" si="32"/>
        <v>95</v>
      </c>
      <c r="BG30" s="50">
        <f t="shared" si="33"/>
        <v>95</v>
      </c>
      <c r="BH30" s="69">
        <f t="shared" si="34"/>
        <v>9.5</v>
      </c>
      <c r="BI30" s="103">
        <v>65</v>
      </c>
      <c r="BJ30" s="104">
        <f t="shared" si="43"/>
        <v>15.850000000000001</v>
      </c>
      <c r="BK30" s="95">
        <v>32</v>
      </c>
      <c r="BL30" s="105">
        <f t="shared" si="44"/>
        <v>64.400000000000006</v>
      </c>
      <c r="BM30" s="106">
        <f t="shared" si="35"/>
        <v>25.760000000000005</v>
      </c>
      <c r="BN30" s="75">
        <f t="shared" si="36"/>
        <v>75.166250000000005</v>
      </c>
      <c r="BO30" s="107">
        <f t="shared" si="37"/>
        <v>37.583125000000003</v>
      </c>
      <c r="BP30" s="108">
        <f t="shared" si="38"/>
        <v>75.12156250000001</v>
      </c>
      <c r="BQ30" s="109">
        <f t="shared" si="3"/>
        <v>2.99</v>
      </c>
      <c r="BR30" s="79" t="str">
        <f t="shared" si="39"/>
        <v>PASSED</v>
      </c>
      <c r="BS30"/>
    </row>
    <row r="31" spans="1:71" ht="15" customHeight="1" x14ac:dyDescent="0.3">
      <c r="A31" s="80">
        <v>17</v>
      </c>
      <c r="B31" s="81" t="s">
        <v>46</v>
      </c>
      <c r="C31" s="82">
        <v>0</v>
      </c>
      <c r="D31" s="83">
        <f t="shared" si="4"/>
        <v>50</v>
      </c>
      <c r="E31" s="84">
        <v>0</v>
      </c>
      <c r="F31" s="83">
        <f t="shared" si="5"/>
        <v>50</v>
      </c>
      <c r="G31" s="40">
        <f t="shared" si="6"/>
        <v>50</v>
      </c>
      <c r="H31" s="41">
        <f t="shared" si="7"/>
        <v>12.5</v>
      </c>
      <c r="I31" s="85">
        <v>0</v>
      </c>
      <c r="J31" s="86">
        <f t="shared" si="8"/>
        <v>50</v>
      </c>
      <c r="K31" s="87">
        <v>0</v>
      </c>
      <c r="L31" s="86">
        <f t="shared" si="9"/>
        <v>50</v>
      </c>
      <c r="M31" s="87">
        <v>0</v>
      </c>
      <c r="N31" s="86">
        <f t="shared" si="10"/>
        <v>50</v>
      </c>
      <c r="O31" s="88">
        <v>0</v>
      </c>
      <c r="P31" s="86">
        <f t="shared" si="11"/>
        <v>50</v>
      </c>
      <c r="Q31" s="89">
        <f t="shared" si="12"/>
        <v>50</v>
      </c>
      <c r="R31" s="90">
        <f t="shared" si="13"/>
        <v>2.5</v>
      </c>
      <c r="S31" s="91">
        <v>0</v>
      </c>
      <c r="T31" s="48">
        <f t="shared" si="14"/>
        <v>50</v>
      </c>
      <c r="U31" s="49">
        <v>0</v>
      </c>
      <c r="V31" s="48">
        <f t="shared" si="15"/>
        <v>50</v>
      </c>
      <c r="W31" s="49">
        <v>0</v>
      </c>
      <c r="X31" s="48">
        <f t="shared" si="16"/>
        <v>50</v>
      </c>
      <c r="Y31" s="50">
        <f t="shared" si="17"/>
        <v>50</v>
      </c>
      <c r="Z31" s="92">
        <f t="shared" si="18"/>
        <v>5</v>
      </c>
      <c r="AA31" s="93">
        <v>0</v>
      </c>
      <c r="AB31" s="94">
        <f t="shared" si="40"/>
        <v>10</v>
      </c>
      <c r="AC31" s="95">
        <v>0</v>
      </c>
      <c r="AD31" s="55">
        <f t="shared" si="41"/>
        <v>50</v>
      </c>
      <c r="AE31" s="56">
        <f t="shared" si="19"/>
        <v>20</v>
      </c>
      <c r="AF31" s="57">
        <f t="shared" si="0"/>
        <v>50</v>
      </c>
      <c r="AG31" s="58">
        <f t="shared" si="20"/>
        <v>25</v>
      </c>
      <c r="AH31" s="59" t="e">
        <f t="shared" si="1"/>
        <v>#N/A</v>
      </c>
      <c r="AI31" s="80">
        <v>17</v>
      </c>
      <c r="AJ31" s="81" t="str">
        <f t="shared" si="2"/>
        <v>DELA CRUZ, JUAN P.</v>
      </c>
      <c r="AK31" s="96">
        <v>0</v>
      </c>
      <c r="AL31" s="83">
        <f t="shared" si="21"/>
        <v>50</v>
      </c>
      <c r="AM31" s="84">
        <v>0</v>
      </c>
      <c r="AN31" s="83">
        <f t="shared" si="22"/>
        <v>50</v>
      </c>
      <c r="AO31" s="97">
        <f t="shared" si="23"/>
        <v>50</v>
      </c>
      <c r="AP31" s="98">
        <f t="shared" si="24"/>
        <v>12.5</v>
      </c>
      <c r="AQ31" s="85">
        <v>0</v>
      </c>
      <c r="AR31" s="86">
        <f t="shared" si="42"/>
        <v>50</v>
      </c>
      <c r="AS31" s="99">
        <v>0</v>
      </c>
      <c r="AT31" s="100">
        <f t="shared" si="25"/>
        <v>50</v>
      </c>
      <c r="AU31" s="99">
        <v>0</v>
      </c>
      <c r="AV31" s="100">
        <f t="shared" si="26"/>
        <v>50</v>
      </c>
      <c r="AW31" s="88">
        <v>0</v>
      </c>
      <c r="AX31" s="101">
        <f t="shared" si="27"/>
        <v>50</v>
      </c>
      <c r="AY31" s="89">
        <f t="shared" si="28"/>
        <v>50</v>
      </c>
      <c r="AZ31" s="90">
        <f t="shared" si="29"/>
        <v>2.5</v>
      </c>
      <c r="BA31" s="102">
        <v>0</v>
      </c>
      <c r="BB31" s="48">
        <f t="shared" si="30"/>
        <v>50</v>
      </c>
      <c r="BC31" s="49">
        <v>0</v>
      </c>
      <c r="BD31" s="48">
        <f t="shared" si="31"/>
        <v>50</v>
      </c>
      <c r="BE31" s="49">
        <v>0</v>
      </c>
      <c r="BF31" s="48">
        <f t="shared" si="32"/>
        <v>50</v>
      </c>
      <c r="BG31" s="50">
        <f t="shared" si="33"/>
        <v>50</v>
      </c>
      <c r="BH31" s="69">
        <f t="shared" si="34"/>
        <v>5</v>
      </c>
      <c r="BI31" s="103">
        <v>0</v>
      </c>
      <c r="BJ31" s="104">
        <f t="shared" si="43"/>
        <v>10</v>
      </c>
      <c r="BK31" s="95">
        <v>0</v>
      </c>
      <c r="BL31" s="105">
        <f t="shared" si="44"/>
        <v>50</v>
      </c>
      <c r="BM31" s="106">
        <f t="shared" si="35"/>
        <v>20</v>
      </c>
      <c r="BN31" s="75">
        <f t="shared" si="36"/>
        <v>50</v>
      </c>
      <c r="BO31" s="107">
        <f t="shared" si="37"/>
        <v>25</v>
      </c>
      <c r="BP31" s="108">
        <f t="shared" si="38"/>
        <v>50</v>
      </c>
      <c r="BQ31" s="109" t="e">
        <f t="shared" si="3"/>
        <v>#N/A</v>
      </c>
      <c r="BR31" s="111" t="s">
        <v>37</v>
      </c>
      <c r="BS31"/>
    </row>
    <row r="32" spans="1:71" ht="15" customHeight="1" x14ac:dyDescent="0.3">
      <c r="A32" s="80">
        <v>18</v>
      </c>
      <c r="B32" s="81" t="s">
        <v>46</v>
      </c>
      <c r="C32" s="82">
        <v>0</v>
      </c>
      <c r="D32" s="83">
        <f t="shared" si="4"/>
        <v>50</v>
      </c>
      <c r="E32" s="84">
        <v>0</v>
      </c>
      <c r="F32" s="83">
        <f t="shared" si="5"/>
        <v>50</v>
      </c>
      <c r="G32" s="40">
        <f t="shared" si="6"/>
        <v>50</v>
      </c>
      <c r="H32" s="41">
        <f t="shared" si="7"/>
        <v>12.5</v>
      </c>
      <c r="I32" s="85">
        <v>0</v>
      </c>
      <c r="J32" s="86">
        <f t="shared" si="8"/>
        <v>50</v>
      </c>
      <c r="K32" s="87">
        <v>0</v>
      </c>
      <c r="L32" s="86">
        <f t="shared" si="9"/>
        <v>50</v>
      </c>
      <c r="M32" s="87">
        <v>0</v>
      </c>
      <c r="N32" s="86">
        <f t="shared" si="10"/>
        <v>50</v>
      </c>
      <c r="O32" s="88">
        <v>0</v>
      </c>
      <c r="P32" s="86">
        <f t="shared" si="11"/>
        <v>50</v>
      </c>
      <c r="Q32" s="89">
        <f t="shared" si="12"/>
        <v>50</v>
      </c>
      <c r="R32" s="90">
        <f t="shared" si="13"/>
        <v>2.5</v>
      </c>
      <c r="S32" s="91">
        <v>0</v>
      </c>
      <c r="T32" s="48">
        <f t="shared" si="14"/>
        <v>50</v>
      </c>
      <c r="U32" s="49">
        <v>0</v>
      </c>
      <c r="V32" s="48">
        <f t="shared" si="15"/>
        <v>50</v>
      </c>
      <c r="W32" s="49">
        <v>0</v>
      </c>
      <c r="X32" s="48">
        <f t="shared" si="16"/>
        <v>50</v>
      </c>
      <c r="Y32" s="50">
        <f t="shared" si="17"/>
        <v>50</v>
      </c>
      <c r="Z32" s="92">
        <f t="shared" si="18"/>
        <v>5</v>
      </c>
      <c r="AA32" s="93">
        <v>0</v>
      </c>
      <c r="AB32" s="94">
        <f t="shared" si="40"/>
        <v>10</v>
      </c>
      <c r="AC32" s="95">
        <v>0</v>
      </c>
      <c r="AD32" s="55">
        <f t="shared" si="41"/>
        <v>50</v>
      </c>
      <c r="AE32" s="56">
        <f t="shared" si="19"/>
        <v>20</v>
      </c>
      <c r="AF32" s="57">
        <f t="shared" si="0"/>
        <v>50</v>
      </c>
      <c r="AG32" s="58">
        <f t="shared" si="20"/>
        <v>25</v>
      </c>
      <c r="AH32" s="59" t="e">
        <f t="shared" si="1"/>
        <v>#N/A</v>
      </c>
      <c r="AI32" s="80">
        <v>18</v>
      </c>
      <c r="AJ32" s="81" t="str">
        <f t="shared" si="2"/>
        <v>DELA CRUZ, JUAN P.</v>
      </c>
      <c r="AK32" s="96">
        <v>0</v>
      </c>
      <c r="AL32" s="83">
        <f t="shared" si="21"/>
        <v>50</v>
      </c>
      <c r="AM32" s="84">
        <v>0</v>
      </c>
      <c r="AN32" s="83">
        <f t="shared" si="22"/>
        <v>50</v>
      </c>
      <c r="AO32" s="97">
        <f t="shared" si="23"/>
        <v>50</v>
      </c>
      <c r="AP32" s="98">
        <f t="shared" si="24"/>
        <v>12.5</v>
      </c>
      <c r="AQ32" s="85">
        <v>0</v>
      </c>
      <c r="AR32" s="86">
        <f t="shared" si="42"/>
        <v>50</v>
      </c>
      <c r="AS32" s="99">
        <v>0</v>
      </c>
      <c r="AT32" s="100">
        <f t="shared" si="25"/>
        <v>50</v>
      </c>
      <c r="AU32" s="99">
        <v>0</v>
      </c>
      <c r="AV32" s="100">
        <f t="shared" si="26"/>
        <v>50</v>
      </c>
      <c r="AW32" s="88">
        <v>0</v>
      </c>
      <c r="AX32" s="101">
        <f t="shared" si="27"/>
        <v>50</v>
      </c>
      <c r="AY32" s="89">
        <f t="shared" si="28"/>
        <v>50</v>
      </c>
      <c r="AZ32" s="90">
        <f t="shared" si="29"/>
        <v>2.5</v>
      </c>
      <c r="BA32" s="102">
        <v>0</v>
      </c>
      <c r="BB32" s="48">
        <f t="shared" si="30"/>
        <v>50</v>
      </c>
      <c r="BC32" s="49">
        <v>0</v>
      </c>
      <c r="BD32" s="48">
        <f t="shared" si="31"/>
        <v>50</v>
      </c>
      <c r="BE32" s="49">
        <v>0</v>
      </c>
      <c r="BF32" s="48">
        <f t="shared" si="32"/>
        <v>50</v>
      </c>
      <c r="BG32" s="50">
        <f t="shared" si="33"/>
        <v>50</v>
      </c>
      <c r="BH32" s="69">
        <f t="shared" si="34"/>
        <v>5</v>
      </c>
      <c r="BI32" s="103">
        <v>0</v>
      </c>
      <c r="BJ32" s="104">
        <f t="shared" si="43"/>
        <v>10</v>
      </c>
      <c r="BK32" s="95">
        <v>0</v>
      </c>
      <c r="BL32" s="105">
        <f t="shared" si="44"/>
        <v>50</v>
      </c>
      <c r="BM32" s="106">
        <f t="shared" si="35"/>
        <v>20</v>
      </c>
      <c r="BN32" s="75">
        <f t="shared" si="36"/>
        <v>50</v>
      </c>
      <c r="BO32" s="107">
        <f t="shared" si="37"/>
        <v>25</v>
      </c>
      <c r="BP32" s="108">
        <f t="shared" si="38"/>
        <v>50</v>
      </c>
      <c r="BQ32" s="109" t="e">
        <f t="shared" si="3"/>
        <v>#N/A</v>
      </c>
      <c r="BR32" s="111" t="s">
        <v>37</v>
      </c>
      <c r="BS32"/>
    </row>
    <row r="33" spans="1:71" ht="15" customHeight="1" x14ac:dyDescent="0.3">
      <c r="A33" s="80">
        <v>19</v>
      </c>
      <c r="B33" s="81" t="s">
        <v>46</v>
      </c>
      <c r="C33" s="82">
        <v>0</v>
      </c>
      <c r="D33" s="83">
        <f t="shared" si="4"/>
        <v>50</v>
      </c>
      <c r="E33" s="84">
        <v>0</v>
      </c>
      <c r="F33" s="83">
        <f t="shared" si="5"/>
        <v>50</v>
      </c>
      <c r="G33" s="40">
        <f t="shared" si="6"/>
        <v>50</v>
      </c>
      <c r="H33" s="41">
        <f t="shared" si="7"/>
        <v>12.5</v>
      </c>
      <c r="I33" s="85">
        <v>0</v>
      </c>
      <c r="J33" s="86">
        <f t="shared" si="8"/>
        <v>50</v>
      </c>
      <c r="K33" s="87">
        <v>0</v>
      </c>
      <c r="L33" s="86">
        <f t="shared" si="9"/>
        <v>50</v>
      </c>
      <c r="M33" s="87">
        <v>0</v>
      </c>
      <c r="N33" s="86">
        <f t="shared" si="10"/>
        <v>50</v>
      </c>
      <c r="O33" s="88">
        <v>0</v>
      </c>
      <c r="P33" s="86">
        <f t="shared" si="11"/>
        <v>50</v>
      </c>
      <c r="Q33" s="89">
        <f t="shared" si="12"/>
        <v>50</v>
      </c>
      <c r="R33" s="90">
        <f t="shared" si="13"/>
        <v>2.5</v>
      </c>
      <c r="S33" s="91">
        <v>0</v>
      </c>
      <c r="T33" s="48">
        <f t="shared" si="14"/>
        <v>50</v>
      </c>
      <c r="U33" s="49">
        <v>0</v>
      </c>
      <c r="V33" s="48">
        <f t="shared" si="15"/>
        <v>50</v>
      </c>
      <c r="W33" s="49">
        <v>0</v>
      </c>
      <c r="X33" s="48">
        <f t="shared" si="16"/>
        <v>50</v>
      </c>
      <c r="Y33" s="50">
        <f t="shared" si="17"/>
        <v>50</v>
      </c>
      <c r="Z33" s="92">
        <f t="shared" si="18"/>
        <v>5</v>
      </c>
      <c r="AA33" s="93">
        <v>0</v>
      </c>
      <c r="AB33" s="94">
        <f t="shared" si="40"/>
        <v>10</v>
      </c>
      <c r="AC33" s="95">
        <v>0</v>
      </c>
      <c r="AD33" s="55">
        <f t="shared" si="41"/>
        <v>50</v>
      </c>
      <c r="AE33" s="56">
        <f t="shared" si="19"/>
        <v>20</v>
      </c>
      <c r="AF33" s="57">
        <f t="shared" si="0"/>
        <v>50</v>
      </c>
      <c r="AG33" s="58">
        <f t="shared" si="20"/>
        <v>25</v>
      </c>
      <c r="AH33" s="59" t="e">
        <f t="shared" si="1"/>
        <v>#N/A</v>
      </c>
      <c r="AI33" s="80">
        <v>19</v>
      </c>
      <c r="AJ33" s="81" t="str">
        <f t="shared" si="2"/>
        <v>DELA CRUZ, JUAN P.</v>
      </c>
      <c r="AK33" s="96">
        <v>0</v>
      </c>
      <c r="AL33" s="83">
        <f t="shared" si="21"/>
        <v>50</v>
      </c>
      <c r="AM33" s="84">
        <v>0</v>
      </c>
      <c r="AN33" s="83">
        <f t="shared" si="22"/>
        <v>50</v>
      </c>
      <c r="AO33" s="97">
        <f t="shared" si="23"/>
        <v>50</v>
      </c>
      <c r="AP33" s="98">
        <f t="shared" si="24"/>
        <v>12.5</v>
      </c>
      <c r="AQ33" s="85">
        <v>0</v>
      </c>
      <c r="AR33" s="86">
        <f t="shared" si="42"/>
        <v>50</v>
      </c>
      <c r="AS33" s="99">
        <v>0</v>
      </c>
      <c r="AT33" s="100">
        <f t="shared" si="25"/>
        <v>50</v>
      </c>
      <c r="AU33" s="99">
        <v>0</v>
      </c>
      <c r="AV33" s="100">
        <f t="shared" si="26"/>
        <v>50</v>
      </c>
      <c r="AW33" s="88">
        <v>0</v>
      </c>
      <c r="AX33" s="101">
        <f t="shared" si="27"/>
        <v>50</v>
      </c>
      <c r="AY33" s="89">
        <f t="shared" si="28"/>
        <v>50</v>
      </c>
      <c r="AZ33" s="90">
        <f t="shared" si="29"/>
        <v>2.5</v>
      </c>
      <c r="BA33" s="102">
        <v>0</v>
      </c>
      <c r="BB33" s="48">
        <f t="shared" si="30"/>
        <v>50</v>
      </c>
      <c r="BC33" s="49">
        <v>0</v>
      </c>
      <c r="BD33" s="48">
        <f t="shared" si="31"/>
        <v>50</v>
      </c>
      <c r="BE33" s="49">
        <v>0</v>
      </c>
      <c r="BF33" s="48">
        <f t="shared" si="32"/>
        <v>50</v>
      </c>
      <c r="BG33" s="50">
        <f t="shared" si="33"/>
        <v>50</v>
      </c>
      <c r="BH33" s="69">
        <f t="shared" si="34"/>
        <v>5</v>
      </c>
      <c r="BI33" s="103">
        <v>0</v>
      </c>
      <c r="BJ33" s="104">
        <f t="shared" si="43"/>
        <v>10</v>
      </c>
      <c r="BK33" s="95">
        <v>0</v>
      </c>
      <c r="BL33" s="105">
        <f t="shared" si="44"/>
        <v>50</v>
      </c>
      <c r="BM33" s="106">
        <f t="shared" si="35"/>
        <v>20</v>
      </c>
      <c r="BN33" s="75">
        <f t="shared" si="36"/>
        <v>50</v>
      </c>
      <c r="BO33" s="107">
        <f t="shared" si="37"/>
        <v>25</v>
      </c>
      <c r="BP33" s="108">
        <f t="shared" si="38"/>
        <v>50</v>
      </c>
      <c r="BQ33" s="109" t="e">
        <f t="shared" si="3"/>
        <v>#N/A</v>
      </c>
      <c r="BR33" s="111" t="s">
        <v>37</v>
      </c>
      <c r="BS33"/>
    </row>
    <row r="34" spans="1:71" ht="15" customHeight="1" x14ac:dyDescent="0.3">
      <c r="A34" s="80">
        <v>20</v>
      </c>
      <c r="B34" s="81" t="s">
        <v>46</v>
      </c>
      <c r="C34" s="82">
        <v>20</v>
      </c>
      <c r="D34" s="83">
        <f t="shared" si="4"/>
        <v>80</v>
      </c>
      <c r="E34" s="84">
        <v>9</v>
      </c>
      <c r="F34" s="83">
        <f t="shared" si="5"/>
        <v>63.5</v>
      </c>
      <c r="G34" s="40">
        <f t="shared" si="6"/>
        <v>71.75</v>
      </c>
      <c r="H34" s="41">
        <f t="shared" si="7"/>
        <v>17.9375</v>
      </c>
      <c r="I34" s="85">
        <v>4</v>
      </c>
      <c r="J34" s="86">
        <f t="shared" si="8"/>
        <v>68</v>
      </c>
      <c r="K34" s="87">
        <v>10</v>
      </c>
      <c r="L34" s="86">
        <f t="shared" si="9"/>
        <v>95</v>
      </c>
      <c r="M34" s="87">
        <v>0</v>
      </c>
      <c r="N34" s="86">
        <f t="shared" si="10"/>
        <v>50</v>
      </c>
      <c r="O34" s="88">
        <v>90</v>
      </c>
      <c r="P34" s="86">
        <f t="shared" si="11"/>
        <v>90.5</v>
      </c>
      <c r="Q34" s="89">
        <f t="shared" si="12"/>
        <v>75.875</v>
      </c>
      <c r="R34" s="90">
        <f t="shared" si="13"/>
        <v>3.7937500000000002</v>
      </c>
      <c r="S34" s="91">
        <v>6</v>
      </c>
      <c r="T34" s="48">
        <f t="shared" si="14"/>
        <v>77</v>
      </c>
      <c r="U34" s="49">
        <v>10</v>
      </c>
      <c r="V34" s="48">
        <f t="shared" si="15"/>
        <v>95</v>
      </c>
      <c r="W34" s="49">
        <v>0</v>
      </c>
      <c r="X34" s="48">
        <f t="shared" si="16"/>
        <v>50</v>
      </c>
      <c r="Y34" s="50">
        <f>(T34+V34+X34)/3</f>
        <v>74</v>
      </c>
      <c r="Z34" s="92">
        <f t="shared" si="18"/>
        <v>7.4</v>
      </c>
      <c r="AA34" s="93">
        <v>85</v>
      </c>
      <c r="AB34" s="94">
        <f t="shared" si="40"/>
        <v>17.650000000000002</v>
      </c>
      <c r="AC34" s="95">
        <v>48</v>
      </c>
      <c r="AD34" s="55">
        <f t="shared" si="41"/>
        <v>71.599999999999994</v>
      </c>
      <c r="AE34" s="56">
        <f t="shared" si="19"/>
        <v>28.64</v>
      </c>
      <c r="AF34" s="57">
        <f t="shared" si="0"/>
        <v>75.421250000000001</v>
      </c>
      <c r="AG34" s="58">
        <f t="shared" si="20"/>
        <v>37.710625</v>
      </c>
      <c r="AH34" s="59">
        <f t="shared" si="1"/>
        <v>2.96</v>
      </c>
      <c r="AI34" s="80">
        <v>20</v>
      </c>
      <c r="AJ34" s="81" t="str">
        <f t="shared" si="2"/>
        <v>DELA CRUZ, JUAN P.</v>
      </c>
      <c r="AK34" s="96">
        <v>13.999999999999998</v>
      </c>
      <c r="AL34" s="83">
        <f t="shared" si="21"/>
        <v>71</v>
      </c>
      <c r="AM34" s="84">
        <v>10</v>
      </c>
      <c r="AN34" s="83">
        <f t="shared" si="22"/>
        <v>65</v>
      </c>
      <c r="AO34" s="97">
        <f t="shared" si="23"/>
        <v>68</v>
      </c>
      <c r="AP34" s="98">
        <f t="shared" si="24"/>
        <v>17</v>
      </c>
      <c r="AQ34" s="85">
        <v>20</v>
      </c>
      <c r="AR34" s="86">
        <f t="shared" si="42"/>
        <v>95</v>
      </c>
      <c r="AS34" s="99">
        <v>0</v>
      </c>
      <c r="AT34" s="100">
        <f t="shared" si="25"/>
        <v>50</v>
      </c>
      <c r="AU34" s="99">
        <v>10</v>
      </c>
      <c r="AV34" s="100">
        <f t="shared" si="26"/>
        <v>95</v>
      </c>
      <c r="AW34" s="88">
        <v>90</v>
      </c>
      <c r="AX34" s="101">
        <f t="shared" si="27"/>
        <v>90.5</v>
      </c>
      <c r="AY34" s="89">
        <f t="shared" si="28"/>
        <v>82.625</v>
      </c>
      <c r="AZ34" s="90">
        <f t="shared" si="29"/>
        <v>4.1312500000000005</v>
      </c>
      <c r="BA34" s="102">
        <v>2</v>
      </c>
      <c r="BB34" s="48">
        <f t="shared" si="30"/>
        <v>59</v>
      </c>
      <c r="BC34" s="49">
        <v>2</v>
      </c>
      <c r="BD34" s="48">
        <f t="shared" si="31"/>
        <v>59</v>
      </c>
      <c r="BE34" s="49">
        <v>10</v>
      </c>
      <c r="BF34" s="48">
        <f t="shared" si="32"/>
        <v>95</v>
      </c>
      <c r="BG34" s="50">
        <f t="shared" si="33"/>
        <v>71</v>
      </c>
      <c r="BH34" s="69">
        <f t="shared" si="34"/>
        <v>7.1000000000000005</v>
      </c>
      <c r="BI34" s="103">
        <v>0</v>
      </c>
      <c r="BJ34" s="104">
        <f t="shared" si="43"/>
        <v>10</v>
      </c>
      <c r="BK34" s="95">
        <v>44</v>
      </c>
      <c r="BL34" s="105">
        <f t="shared" si="44"/>
        <v>69.8</v>
      </c>
      <c r="BM34" s="106">
        <f t="shared" si="35"/>
        <v>27.92</v>
      </c>
      <c r="BN34" s="75">
        <f t="shared" si="36"/>
        <v>66.151250000000005</v>
      </c>
      <c r="BO34" s="107">
        <f t="shared" si="37"/>
        <v>33.075625000000002</v>
      </c>
      <c r="BP34" s="108">
        <f t="shared" si="38"/>
        <v>70.786249999999995</v>
      </c>
      <c r="BQ34" s="109">
        <f t="shared" si="3"/>
        <v>3.4299999999999899</v>
      </c>
      <c r="BR34" s="79" t="s">
        <v>38</v>
      </c>
      <c r="BS34"/>
    </row>
    <row r="35" spans="1:71" ht="15" customHeight="1" x14ac:dyDescent="0.3">
      <c r="A35" s="80">
        <v>21</v>
      </c>
      <c r="B35" s="81" t="s">
        <v>46</v>
      </c>
      <c r="C35" s="82">
        <v>30</v>
      </c>
      <c r="D35" s="83">
        <f t="shared" si="4"/>
        <v>95</v>
      </c>
      <c r="E35" s="84">
        <v>6</v>
      </c>
      <c r="F35" s="83">
        <f t="shared" si="5"/>
        <v>59</v>
      </c>
      <c r="G35" s="40">
        <f t="shared" si="6"/>
        <v>77</v>
      </c>
      <c r="H35" s="41">
        <f t="shared" si="7"/>
        <v>19.25</v>
      </c>
      <c r="I35" s="85">
        <v>0</v>
      </c>
      <c r="J35" s="86">
        <f t="shared" si="8"/>
        <v>50</v>
      </c>
      <c r="K35" s="87">
        <v>10</v>
      </c>
      <c r="L35" s="86">
        <f t="shared" si="9"/>
        <v>95</v>
      </c>
      <c r="M35" s="87">
        <v>0</v>
      </c>
      <c r="N35" s="86">
        <f t="shared" si="10"/>
        <v>50</v>
      </c>
      <c r="O35" s="88">
        <v>80</v>
      </c>
      <c r="P35" s="86">
        <f t="shared" si="11"/>
        <v>86</v>
      </c>
      <c r="Q35" s="89">
        <f t="shared" si="12"/>
        <v>70.25</v>
      </c>
      <c r="R35" s="90">
        <f t="shared" si="13"/>
        <v>3.5125000000000002</v>
      </c>
      <c r="S35" s="91">
        <v>0</v>
      </c>
      <c r="T35" s="48">
        <f t="shared" si="14"/>
        <v>50</v>
      </c>
      <c r="U35" s="49">
        <v>0</v>
      </c>
      <c r="V35" s="48">
        <f t="shared" si="15"/>
        <v>50</v>
      </c>
      <c r="W35" s="49">
        <v>0</v>
      </c>
      <c r="X35" s="48">
        <f t="shared" si="16"/>
        <v>50</v>
      </c>
      <c r="Y35" s="50">
        <f t="shared" si="17"/>
        <v>50</v>
      </c>
      <c r="Z35" s="92">
        <f t="shared" si="18"/>
        <v>5</v>
      </c>
      <c r="AA35" s="93">
        <v>90</v>
      </c>
      <c r="AB35" s="94">
        <f t="shared" si="40"/>
        <v>18.100000000000001</v>
      </c>
      <c r="AC35" s="95">
        <v>52</v>
      </c>
      <c r="AD35" s="55">
        <f t="shared" si="41"/>
        <v>73.400000000000006</v>
      </c>
      <c r="AE35" s="56">
        <f t="shared" si="19"/>
        <v>29.360000000000003</v>
      </c>
      <c r="AF35" s="57">
        <f t="shared" si="0"/>
        <v>75.222499999999997</v>
      </c>
      <c r="AG35" s="58">
        <f t="shared" si="20"/>
        <v>37.611249999999998</v>
      </c>
      <c r="AH35" s="59">
        <f t="shared" si="1"/>
        <v>2.98</v>
      </c>
      <c r="AI35" s="80">
        <v>21</v>
      </c>
      <c r="AJ35" s="81" t="str">
        <f t="shared" si="2"/>
        <v>DELA CRUZ, JUAN P.</v>
      </c>
      <c r="AK35" s="96">
        <v>30</v>
      </c>
      <c r="AL35" s="83">
        <f t="shared" si="21"/>
        <v>95</v>
      </c>
      <c r="AM35" s="84">
        <v>10</v>
      </c>
      <c r="AN35" s="83">
        <f t="shared" si="22"/>
        <v>65</v>
      </c>
      <c r="AO35" s="97">
        <f t="shared" si="23"/>
        <v>80</v>
      </c>
      <c r="AP35" s="98">
        <f t="shared" si="24"/>
        <v>20</v>
      </c>
      <c r="AQ35" s="85">
        <v>0</v>
      </c>
      <c r="AR35" s="86">
        <f t="shared" si="42"/>
        <v>50</v>
      </c>
      <c r="AS35" s="99">
        <v>10</v>
      </c>
      <c r="AT35" s="100">
        <f t="shared" si="25"/>
        <v>95</v>
      </c>
      <c r="AU35" s="99">
        <v>10</v>
      </c>
      <c r="AV35" s="100">
        <f t="shared" si="26"/>
        <v>95</v>
      </c>
      <c r="AW35" s="88">
        <v>90</v>
      </c>
      <c r="AX35" s="101">
        <f t="shared" si="27"/>
        <v>90.5</v>
      </c>
      <c r="AY35" s="89">
        <f t="shared" si="28"/>
        <v>82.625</v>
      </c>
      <c r="AZ35" s="90">
        <f t="shared" si="29"/>
        <v>4.1312500000000005</v>
      </c>
      <c r="BA35" s="102">
        <v>10</v>
      </c>
      <c r="BB35" s="48">
        <f t="shared" si="30"/>
        <v>95</v>
      </c>
      <c r="BC35" s="49">
        <v>10</v>
      </c>
      <c r="BD35" s="48">
        <f t="shared" si="31"/>
        <v>95</v>
      </c>
      <c r="BE35" s="49">
        <v>10</v>
      </c>
      <c r="BF35" s="48">
        <f t="shared" si="32"/>
        <v>95</v>
      </c>
      <c r="BG35" s="50">
        <f t="shared" si="33"/>
        <v>95</v>
      </c>
      <c r="BH35" s="69">
        <f t="shared" si="34"/>
        <v>9.5</v>
      </c>
      <c r="BI35" s="103">
        <v>80</v>
      </c>
      <c r="BJ35" s="104">
        <f t="shared" si="43"/>
        <v>17.2</v>
      </c>
      <c r="BK35" s="95">
        <v>44</v>
      </c>
      <c r="BL35" s="105">
        <f t="shared" si="44"/>
        <v>69.8</v>
      </c>
      <c r="BM35" s="106">
        <f t="shared" si="35"/>
        <v>27.92</v>
      </c>
      <c r="BN35" s="75">
        <f t="shared" si="36"/>
        <v>78.751249999999999</v>
      </c>
      <c r="BO35" s="107">
        <f t="shared" si="37"/>
        <v>39.375624999999999</v>
      </c>
      <c r="BP35" s="108">
        <f t="shared" si="38"/>
        <v>76.986874999999998</v>
      </c>
      <c r="BQ35" s="109">
        <f t="shared" si="3"/>
        <v>2.81</v>
      </c>
      <c r="BR35" s="79" t="str">
        <f t="shared" si="39"/>
        <v>PASSED</v>
      </c>
      <c r="BS35"/>
    </row>
    <row r="36" spans="1:71" ht="15" customHeight="1" x14ac:dyDescent="0.3">
      <c r="A36" s="80">
        <v>22</v>
      </c>
      <c r="B36" s="81" t="s">
        <v>46</v>
      </c>
      <c r="C36" s="82">
        <v>26.4</v>
      </c>
      <c r="D36" s="83">
        <f t="shared" si="4"/>
        <v>89.6</v>
      </c>
      <c r="E36" s="84">
        <v>23</v>
      </c>
      <c r="F36" s="83">
        <f t="shared" si="5"/>
        <v>84.5</v>
      </c>
      <c r="G36" s="40">
        <f t="shared" si="6"/>
        <v>87.05</v>
      </c>
      <c r="H36" s="41">
        <f t="shared" si="7"/>
        <v>21.762499999999999</v>
      </c>
      <c r="I36" s="85">
        <v>10</v>
      </c>
      <c r="J36" s="86">
        <f t="shared" si="8"/>
        <v>95</v>
      </c>
      <c r="K36" s="87">
        <v>10</v>
      </c>
      <c r="L36" s="86">
        <f t="shared" si="9"/>
        <v>95</v>
      </c>
      <c r="M36" s="87">
        <v>10</v>
      </c>
      <c r="N36" s="86">
        <f t="shared" si="10"/>
        <v>95</v>
      </c>
      <c r="O36" s="88">
        <v>100</v>
      </c>
      <c r="P36" s="86">
        <f t="shared" si="11"/>
        <v>95</v>
      </c>
      <c r="Q36" s="89">
        <f t="shared" si="12"/>
        <v>95</v>
      </c>
      <c r="R36" s="90">
        <f t="shared" si="13"/>
        <v>4.75</v>
      </c>
      <c r="S36" s="91">
        <v>10</v>
      </c>
      <c r="T36" s="48">
        <f t="shared" si="14"/>
        <v>95</v>
      </c>
      <c r="U36" s="49">
        <v>10</v>
      </c>
      <c r="V36" s="48">
        <f t="shared" si="15"/>
        <v>95</v>
      </c>
      <c r="W36" s="49">
        <v>24</v>
      </c>
      <c r="X36" s="48">
        <f t="shared" si="16"/>
        <v>86</v>
      </c>
      <c r="Y36" s="50">
        <f t="shared" si="17"/>
        <v>92</v>
      </c>
      <c r="Z36" s="92">
        <f t="shared" si="18"/>
        <v>9.2000000000000011</v>
      </c>
      <c r="AA36" s="93">
        <v>85</v>
      </c>
      <c r="AB36" s="94">
        <f t="shared" si="40"/>
        <v>17.650000000000002</v>
      </c>
      <c r="AC36" s="95">
        <v>76</v>
      </c>
      <c r="AD36" s="55">
        <f t="shared" si="41"/>
        <v>84.2</v>
      </c>
      <c r="AE36" s="56">
        <f t="shared" si="19"/>
        <v>33.68</v>
      </c>
      <c r="AF36" s="57">
        <f t="shared" si="0"/>
        <v>87.04249999999999</v>
      </c>
      <c r="AG36" s="58">
        <f t="shared" si="20"/>
        <v>43.521249999999995</v>
      </c>
      <c r="AH36" s="59">
        <f t="shared" si="1"/>
        <v>1.80000000000002</v>
      </c>
      <c r="AI36" s="80">
        <v>22</v>
      </c>
      <c r="AJ36" s="81" t="str">
        <f t="shared" si="2"/>
        <v>DELA CRUZ, JUAN P.</v>
      </c>
      <c r="AK36" s="96">
        <v>30</v>
      </c>
      <c r="AL36" s="83">
        <f t="shared" si="21"/>
        <v>95</v>
      </c>
      <c r="AM36" s="84">
        <v>21</v>
      </c>
      <c r="AN36" s="83">
        <f t="shared" si="22"/>
        <v>81.5</v>
      </c>
      <c r="AO36" s="97">
        <f t="shared" si="23"/>
        <v>88.25</v>
      </c>
      <c r="AP36" s="98">
        <f t="shared" si="24"/>
        <v>22.0625</v>
      </c>
      <c r="AQ36" s="85">
        <v>11</v>
      </c>
      <c r="AR36" s="86">
        <f t="shared" si="42"/>
        <v>74.75</v>
      </c>
      <c r="AS36" s="99">
        <v>10</v>
      </c>
      <c r="AT36" s="100">
        <f t="shared" si="25"/>
        <v>95</v>
      </c>
      <c r="AU36" s="99">
        <v>10</v>
      </c>
      <c r="AV36" s="100">
        <f t="shared" si="26"/>
        <v>95</v>
      </c>
      <c r="AW36" s="88">
        <v>100</v>
      </c>
      <c r="AX36" s="101">
        <f t="shared" si="27"/>
        <v>95</v>
      </c>
      <c r="AY36" s="89">
        <f t="shared" si="28"/>
        <v>89.9375</v>
      </c>
      <c r="AZ36" s="90">
        <f t="shared" si="29"/>
        <v>4.4968750000000002</v>
      </c>
      <c r="BA36" s="102">
        <v>10</v>
      </c>
      <c r="BB36" s="48">
        <f t="shared" si="30"/>
        <v>95</v>
      </c>
      <c r="BC36" s="49">
        <v>10</v>
      </c>
      <c r="BD36" s="48">
        <f t="shared" si="31"/>
        <v>95</v>
      </c>
      <c r="BE36" s="49">
        <v>10</v>
      </c>
      <c r="BF36" s="48">
        <f t="shared" si="32"/>
        <v>95</v>
      </c>
      <c r="BG36" s="50">
        <f t="shared" si="33"/>
        <v>95</v>
      </c>
      <c r="BH36" s="69">
        <f t="shared" si="34"/>
        <v>9.5</v>
      </c>
      <c r="BI36" s="103">
        <v>85</v>
      </c>
      <c r="BJ36" s="104">
        <f t="shared" si="43"/>
        <v>17.650000000000002</v>
      </c>
      <c r="BK36" s="95">
        <v>74</v>
      </c>
      <c r="BL36" s="105">
        <f t="shared" si="44"/>
        <v>83.3</v>
      </c>
      <c r="BM36" s="106">
        <f t="shared" si="35"/>
        <v>33.32</v>
      </c>
      <c r="BN36" s="75">
        <f t="shared" si="36"/>
        <v>87.029375000000016</v>
      </c>
      <c r="BO36" s="107">
        <f t="shared" si="37"/>
        <v>43.514687500000008</v>
      </c>
      <c r="BP36" s="108">
        <f t="shared" si="38"/>
        <v>87.035937500000003</v>
      </c>
      <c r="BQ36" s="109">
        <f t="shared" si="3"/>
        <v>1.80000000000002</v>
      </c>
      <c r="BR36" s="79" t="str">
        <f t="shared" si="39"/>
        <v>PASSED</v>
      </c>
      <c r="BS36"/>
    </row>
    <row r="37" spans="1:71" ht="15" customHeight="1" x14ac:dyDescent="0.3">
      <c r="A37" s="80">
        <v>23</v>
      </c>
      <c r="B37" s="81" t="s">
        <v>46</v>
      </c>
      <c r="C37" s="82">
        <v>29.4</v>
      </c>
      <c r="D37" s="83">
        <f t="shared" si="4"/>
        <v>94.1</v>
      </c>
      <c r="E37" s="84">
        <v>22</v>
      </c>
      <c r="F37" s="83">
        <f t="shared" si="5"/>
        <v>83</v>
      </c>
      <c r="G37" s="40">
        <f t="shared" si="6"/>
        <v>88.55</v>
      </c>
      <c r="H37" s="41">
        <f t="shared" si="7"/>
        <v>22.137499999999999</v>
      </c>
      <c r="I37" s="85">
        <v>10</v>
      </c>
      <c r="J37" s="86">
        <f t="shared" si="8"/>
        <v>95</v>
      </c>
      <c r="K37" s="87">
        <v>10</v>
      </c>
      <c r="L37" s="86">
        <f t="shared" si="9"/>
        <v>95</v>
      </c>
      <c r="M37" s="87">
        <v>10</v>
      </c>
      <c r="N37" s="86">
        <f t="shared" si="10"/>
        <v>95</v>
      </c>
      <c r="O37" s="88">
        <v>100</v>
      </c>
      <c r="P37" s="86">
        <f t="shared" si="11"/>
        <v>95</v>
      </c>
      <c r="Q37" s="89">
        <f t="shared" si="12"/>
        <v>95</v>
      </c>
      <c r="R37" s="90">
        <f t="shared" si="13"/>
        <v>4.75</v>
      </c>
      <c r="S37" s="91">
        <v>10</v>
      </c>
      <c r="T37" s="48">
        <f t="shared" si="14"/>
        <v>95</v>
      </c>
      <c r="U37" s="49">
        <v>10</v>
      </c>
      <c r="V37" s="48">
        <f t="shared" si="15"/>
        <v>95</v>
      </c>
      <c r="W37" s="49">
        <v>29</v>
      </c>
      <c r="X37" s="48">
        <f t="shared" si="16"/>
        <v>93.5</v>
      </c>
      <c r="Y37" s="50">
        <f t="shared" si="17"/>
        <v>94.5</v>
      </c>
      <c r="Z37" s="92">
        <f t="shared" si="18"/>
        <v>9.4500000000000011</v>
      </c>
      <c r="AA37" s="93">
        <v>80</v>
      </c>
      <c r="AB37" s="94">
        <f t="shared" si="40"/>
        <v>17.2</v>
      </c>
      <c r="AC37" s="95">
        <v>84</v>
      </c>
      <c r="AD37" s="55">
        <f t="shared" si="41"/>
        <v>87.8</v>
      </c>
      <c r="AE37" s="56">
        <f t="shared" si="19"/>
        <v>35.119999999999997</v>
      </c>
      <c r="AF37" s="57">
        <f t="shared" si="0"/>
        <v>88.657499999999999</v>
      </c>
      <c r="AG37" s="58">
        <f t="shared" si="20"/>
        <v>44.328749999999999</v>
      </c>
      <c r="AH37" s="59">
        <f t="shared" si="1"/>
        <v>1.6400000000000301</v>
      </c>
      <c r="AI37" s="80">
        <v>23</v>
      </c>
      <c r="AJ37" s="81" t="str">
        <f t="shared" si="2"/>
        <v>DELA CRUZ, JUAN P.</v>
      </c>
      <c r="AK37" s="96">
        <v>30</v>
      </c>
      <c r="AL37" s="83">
        <f t="shared" si="21"/>
        <v>95</v>
      </c>
      <c r="AM37" s="84">
        <v>19</v>
      </c>
      <c r="AN37" s="83">
        <f t="shared" si="22"/>
        <v>78.5</v>
      </c>
      <c r="AO37" s="97">
        <f t="shared" si="23"/>
        <v>86.75</v>
      </c>
      <c r="AP37" s="98">
        <f t="shared" si="24"/>
        <v>21.6875</v>
      </c>
      <c r="AQ37" s="85">
        <v>8</v>
      </c>
      <c r="AR37" s="86">
        <f t="shared" si="42"/>
        <v>68</v>
      </c>
      <c r="AS37" s="99">
        <v>10</v>
      </c>
      <c r="AT37" s="100">
        <f t="shared" si="25"/>
        <v>95</v>
      </c>
      <c r="AU37" s="99">
        <v>10</v>
      </c>
      <c r="AV37" s="100">
        <f t="shared" si="26"/>
        <v>95</v>
      </c>
      <c r="AW37" s="88">
        <v>100</v>
      </c>
      <c r="AX37" s="101">
        <f t="shared" si="27"/>
        <v>95</v>
      </c>
      <c r="AY37" s="89">
        <f t="shared" si="28"/>
        <v>88.25</v>
      </c>
      <c r="AZ37" s="90">
        <f t="shared" si="29"/>
        <v>4.4125000000000005</v>
      </c>
      <c r="BA37" s="102">
        <v>10</v>
      </c>
      <c r="BB37" s="48">
        <f t="shared" si="30"/>
        <v>95</v>
      </c>
      <c r="BC37" s="49">
        <v>10</v>
      </c>
      <c r="BD37" s="48">
        <f t="shared" si="31"/>
        <v>95</v>
      </c>
      <c r="BE37" s="49">
        <v>10</v>
      </c>
      <c r="BF37" s="48">
        <f t="shared" si="32"/>
        <v>95</v>
      </c>
      <c r="BG37" s="50">
        <f t="shared" si="33"/>
        <v>95</v>
      </c>
      <c r="BH37" s="69">
        <f t="shared" si="34"/>
        <v>9.5</v>
      </c>
      <c r="BI37" s="103">
        <v>80</v>
      </c>
      <c r="BJ37" s="104">
        <f t="shared" si="43"/>
        <v>17.2</v>
      </c>
      <c r="BK37" s="95">
        <v>74</v>
      </c>
      <c r="BL37" s="105">
        <f t="shared" si="44"/>
        <v>83.3</v>
      </c>
      <c r="BM37" s="106">
        <f t="shared" si="35"/>
        <v>33.32</v>
      </c>
      <c r="BN37" s="75">
        <f t="shared" si="36"/>
        <v>86.12</v>
      </c>
      <c r="BO37" s="107">
        <f t="shared" si="37"/>
        <v>43.06</v>
      </c>
      <c r="BP37" s="108">
        <f t="shared" si="38"/>
        <v>87.388750000000002</v>
      </c>
      <c r="BQ37" s="109">
        <f t="shared" si="3"/>
        <v>1.77000000000003</v>
      </c>
      <c r="BR37" s="79" t="str">
        <f t="shared" si="39"/>
        <v>PASSED</v>
      </c>
      <c r="BS37"/>
    </row>
    <row r="38" spans="1:71" ht="15" customHeight="1" x14ac:dyDescent="0.3">
      <c r="A38" s="80">
        <v>24</v>
      </c>
      <c r="B38" s="81" t="s">
        <v>46</v>
      </c>
      <c r="C38" s="82">
        <v>29.4</v>
      </c>
      <c r="D38" s="83">
        <f t="shared" si="4"/>
        <v>94.1</v>
      </c>
      <c r="E38" s="84">
        <v>12</v>
      </c>
      <c r="F38" s="83">
        <f t="shared" si="5"/>
        <v>68</v>
      </c>
      <c r="G38" s="40">
        <f t="shared" si="6"/>
        <v>81.05</v>
      </c>
      <c r="H38" s="41">
        <f t="shared" si="7"/>
        <v>20.262499999999999</v>
      </c>
      <c r="I38" s="85">
        <v>2</v>
      </c>
      <c r="J38" s="86">
        <f t="shared" si="8"/>
        <v>59</v>
      </c>
      <c r="K38" s="87">
        <v>10</v>
      </c>
      <c r="L38" s="86">
        <f t="shared" si="9"/>
        <v>95</v>
      </c>
      <c r="M38" s="87">
        <v>10</v>
      </c>
      <c r="N38" s="86">
        <f t="shared" si="10"/>
        <v>95</v>
      </c>
      <c r="O38" s="88">
        <v>100</v>
      </c>
      <c r="P38" s="86">
        <f t="shared" si="11"/>
        <v>95</v>
      </c>
      <c r="Q38" s="89">
        <f t="shared" si="12"/>
        <v>86</v>
      </c>
      <c r="R38" s="90">
        <f t="shared" si="13"/>
        <v>4.3</v>
      </c>
      <c r="S38" s="91">
        <v>10</v>
      </c>
      <c r="T38" s="48">
        <f t="shared" si="14"/>
        <v>95</v>
      </c>
      <c r="U38" s="49">
        <v>10</v>
      </c>
      <c r="V38" s="48">
        <f t="shared" si="15"/>
        <v>95</v>
      </c>
      <c r="W38" s="49">
        <v>29</v>
      </c>
      <c r="X38" s="48">
        <f t="shared" si="16"/>
        <v>93.5</v>
      </c>
      <c r="Y38" s="50">
        <f t="shared" si="17"/>
        <v>94.5</v>
      </c>
      <c r="Z38" s="92">
        <f t="shared" si="18"/>
        <v>9.4500000000000011</v>
      </c>
      <c r="AA38" s="93">
        <v>60</v>
      </c>
      <c r="AB38" s="94">
        <f t="shared" si="40"/>
        <v>15.4</v>
      </c>
      <c r="AC38" s="95">
        <v>58</v>
      </c>
      <c r="AD38" s="55">
        <f t="shared" si="41"/>
        <v>76.099999999999994</v>
      </c>
      <c r="AE38" s="56">
        <f t="shared" si="19"/>
        <v>30.439999999999998</v>
      </c>
      <c r="AF38" s="57">
        <f t="shared" si="0"/>
        <v>79.852499999999992</v>
      </c>
      <c r="AG38" s="58">
        <f t="shared" si="20"/>
        <v>39.926249999999996</v>
      </c>
      <c r="AH38" s="59">
        <f t="shared" si="1"/>
        <v>2.5200000000000098</v>
      </c>
      <c r="AI38" s="80">
        <v>24</v>
      </c>
      <c r="AJ38" s="81" t="str">
        <f t="shared" si="2"/>
        <v>DELA CRUZ, JUAN P.</v>
      </c>
      <c r="AK38" s="96">
        <v>13.999999999999998</v>
      </c>
      <c r="AL38" s="83">
        <f t="shared" si="21"/>
        <v>71</v>
      </c>
      <c r="AM38" s="84">
        <v>21</v>
      </c>
      <c r="AN38" s="83">
        <f t="shared" si="22"/>
        <v>81.5</v>
      </c>
      <c r="AO38" s="97">
        <f t="shared" si="23"/>
        <v>76.25</v>
      </c>
      <c r="AP38" s="98">
        <f t="shared" si="24"/>
        <v>19.0625</v>
      </c>
      <c r="AQ38" s="85">
        <v>6</v>
      </c>
      <c r="AR38" s="86">
        <f t="shared" si="42"/>
        <v>63.5</v>
      </c>
      <c r="AS38" s="99">
        <v>10</v>
      </c>
      <c r="AT38" s="100">
        <f t="shared" si="25"/>
        <v>95</v>
      </c>
      <c r="AU38" s="99">
        <v>10</v>
      </c>
      <c r="AV38" s="100">
        <f t="shared" si="26"/>
        <v>95</v>
      </c>
      <c r="AW38" s="88">
        <v>90</v>
      </c>
      <c r="AX38" s="101">
        <f t="shared" si="27"/>
        <v>90.5</v>
      </c>
      <c r="AY38" s="89">
        <f t="shared" si="28"/>
        <v>86</v>
      </c>
      <c r="AZ38" s="90">
        <f t="shared" si="29"/>
        <v>4.3</v>
      </c>
      <c r="BA38" s="102">
        <v>2</v>
      </c>
      <c r="BB38" s="48">
        <f t="shared" si="30"/>
        <v>59</v>
      </c>
      <c r="BC38" s="49">
        <v>2</v>
      </c>
      <c r="BD38" s="48">
        <f t="shared" si="31"/>
        <v>59</v>
      </c>
      <c r="BE38" s="49">
        <v>10</v>
      </c>
      <c r="BF38" s="48">
        <f t="shared" si="32"/>
        <v>95</v>
      </c>
      <c r="BG38" s="50">
        <f t="shared" si="33"/>
        <v>71</v>
      </c>
      <c r="BH38" s="69">
        <f t="shared" si="34"/>
        <v>7.1000000000000005</v>
      </c>
      <c r="BI38" s="103">
        <v>85</v>
      </c>
      <c r="BJ38" s="104">
        <f t="shared" si="43"/>
        <v>17.650000000000002</v>
      </c>
      <c r="BK38" s="95">
        <v>60</v>
      </c>
      <c r="BL38" s="105">
        <f t="shared" si="44"/>
        <v>77</v>
      </c>
      <c r="BM38" s="106">
        <f t="shared" si="35"/>
        <v>30.8</v>
      </c>
      <c r="BN38" s="75">
        <f t="shared" si="36"/>
        <v>78.912500000000009</v>
      </c>
      <c r="BO38" s="107">
        <f t="shared" si="37"/>
        <v>39.456250000000004</v>
      </c>
      <c r="BP38" s="108">
        <f t="shared" si="38"/>
        <v>79.382499999999993</v>
      </c>
      <c r="BQ38" s="109">
        <f t="shared" si="3"/>
        <v>2.5700000000000101</v>
      </c>
      <c r="BR38" s="79" t="str">
        <f t="shared" si="39"/>
        <v>PASSED</v>
      </c>
      <c r="BS38"/>
    </row>
    <row r="39" spans="1:71" ht="15" customHeight="1" x14ac:dyDescent="0.3">
      <c r="A39" s="80">
        <v>25</v>
      </c>
      <c r="B39" s="81" t="s">
        <v>46</v>
      </c>
      <c r="C39" s="82">
        <v>0</v>
      </c>
      <c r="D39" s="83">
        <f t="shared" si="4"/>
        <v>50</v>
      </c>
      <c r="E39" s="84">
        <v>0</v>
      </c>
      <c r="F39" s="83">
        <f t="shared" si="5"/>
        <v>50</v>
      </c>
      <c r="G39" s="40">
        <f t="shared" si="6"/>
        <v>50</v>
      </c>
      <c r="H39" s="41">
        <f t="shared" si="7"/>
        <v>12.5</v>
      </c>
      <c r="I39" s="85">
        <v>0</v>
      </c>
      <c r="J39" s="86">
        <f t="shared" si="8"/>
        <v>50</v>
      </c>
      <c r="K39" s="87">
        <v>0</v>
      </c>
      <c r="L39" s="86">
        <f t="shared" si="9"/>
        <v>50</v>
      </c>
      <c r="M39" s="87">
        <v>0</v>
      </c>
      <c r="N39" s="86">
        <f t="shared" si="10"/>
        <v>50</v>
      </c>
      <c r="O39" s="88">
        <v>0</v>
      </c>
      <c r="P39" s="86">
        <f t="shared" si="11"/>
        <v>50</v>
      </c>
      <c r="Q39" s="89">
        <f t="shared" si="12"/>
        <v>50</v>
      </c>
      <c r="R39" s="90">
        <f t="shared" si="13"/>
        <v>2.5</v>
      </c>
      <c r="S39" s="91">
        <v>0</v>
      </c>
      <c r="T39" s="48">
        <f t="shared" si="14"/>
        <v>50</v>
      </c>
      <c r="U39" s="49">
        <v>0</v>
      </c>
      <c r="V39" s="48">
        <f t="shared" si="15"/>
        <v>50</v>
      </c>
      <c r="W39" s="49">
        <v>0</v>
      </c>
      <c r="X39" s="48">
        <f t="shared" si="16"/>
        <v>50</v>
      </c>
      <c r="Y39" s="50">
        <f t="shared" si="17"/>
        <v>50</v>
      </c>
      <c r="Z39" s="92">
        <f t="shared" si="18"/>
        <v>5</v>
      </c>
      <c r="AA39" s="93">
        <v>0</v>
      </c>
      <c r="AB39" s="94">
        <f t="shared" si="40"/>
        <v>10</v>
      </c>
      <c r="AC39" s="95">
        <v>0</v>
      </c>
      <c r="AD39" s="55">
        <f t="shared" si="41"/>
        <v>50</v>
      </c>
      <c r="AE39" s="56">
        <f t="shared" si="19"/>
        <v>20</v>
      </c>
      <c r="AF39" s="57">
        <f t="shared" si="0"/>
        <v>50</v>
      </c>
      <c r="AG39" s="58">
        <f t="shared" si="20"/>
        <v>25</v>
      </c>
      <c r="AH39" s="59" t="e">
        <f t="shared" si="1"/>
        <v>#N/A</v>
      </c>
      <c r="AI39" s="80">
        <v>25</v>
      </c>
      <c r="AJ39" s="81" t="str">
        <f t="shared" si="2"/>
        <v>DELA CRUZ, JUAN P.</v>
      </c>
      <c r="AK39" s="96">
        <v>0</v>
      </c>
      <c r="AL39" s="83">
        <f t="shared" si="21"/>
        <v>50</v>
      </c>
      <c r="AM39" s="84">
        <v>0</v>
      </c>
      <c r="AN39" s="83">
        <f t="shared" si="22"/>
        <v>50</v>
      </c>
      <c r="AO39" s="97">
        <f t="shared" si="23"/>
        <v>50</v>
      </c>
      <c r="AP39" s="98">
        <f t="shared" si="24"/>
        <v>12.5</v>
      </c>
      <c r="AQ39" s="85">
        <v>0</v>
      </c>
      <c r="AR39" s="86">
        <f t="shared" si="42"/>
        <v>50</v>
      </c>
      <c r="AS39" s="99">
        <v>0</v>
      </c>
      <c r="AT39" s="100">
        <f t="shared" si="25"/>
        <v>50</v>
      </c>
      <c r="AU39" s="99">
        <v>0</v>
      </c>
      <c r="AV39" s="100">
        <f t="shared" si="26"/>
        <v>50</v>
      </c>
      <c r="AW39" s="88">
        <v>0</v>
      </c>
      <c r="AX39" s="101">
        <f t="shared" si="27"/>
        <v>50</v>
      </c>
      <c r="AY39" s="89">
        <f t="shared" si="28"/>
        <v>50</v>
      </c>
      <c r="AZ39" s="90">
        <f t="shared" si="29"/>
        <v>2.5</v>
      </c>
      <c r="BA39" s="102">
        <v>0</v>
      </c>
      <c r="BB39" s="48">
        <f t="shared" si="30"/>
        <v>50</v>
      </c>
      <c r="BC39" s="49">
        <v>0</v>
      </c>
      <c r="BD39" s="48">
        <f t="shared" si="31"/>
        <v>50</v>
      </c>
      <c r="BE39" s="49">
        <v>0</v>
      </c>
      <c r="BF39" s="48">
        <f t="shared" si="32"/>
        <v>50</v>
      </c>
      <c r="BG39" s="50">
        <f t="shared" si="33"/>
        <v>50</v>
      </c>
      <c r="BH39" s="69">
        <f t="shared" si="34"/>
        <v>5</v>
      </c>
      <c r="BI39" s="103">
        <v>0</v>
      </c>
      <c r="BJ39" s="104">
        <f t="shared" si="43"/>
        <v>10</v>
      </c>
      <c r="BK39" s="95">
        <v>0</v>
      </c>
      <c r="BL39" s="105">
        <f t="shared" si="44"/>
        <v>50</v>
      </c>
      <c r="BM39" s="106">
        <f t="shared" si="35"/>
        <v>20</v>
      </c>
      <c r="BN39" s="75">
        <f t="shared" si="36"/>
        <v>50</v>
      </c>
      <c r="BO39" s="107">
        <f t="shared" si="37"/>
        <v>25</v>
      </c>
      <c r="BP39" s="108">
        <f t="shared" si="38"/>
        <v>50</v>
      </c>
      <c r="BQ39" s="109" t="e">
        <f t="shared" si="3"/>
        <v>#N/A</v>
      </c>
      <c r="BR39" s="111" t="s">
        <v>37</v>
      </c>
      <c r="BS39"/>
    </row>
    <row r="40" spans="1:71" ht="15" customHeight="1" x14ac:dyDescent="0.3">
      <c r="A40" s="80">
        <v>26</v>
      </c>
      <c r="B40" s="81" t="s">
        <v>46</v>
      </c>
      <c r="C40" s="82">
        <v>21.599999999999998</v>
      </c>
      <c r="D40" s="83">
        <f t="shared" si="4"/>
        <v>82.4</v>
      </c>
      <c r="E40" s="84">
        <v>27</v>
      </c>
      <c r="F40" s="83">
        <f t="shared" si="5"/>
        <v>90.5</v>
      </c>
      <c r="G40" s="40">
        <f t="shared" si="6"/>
        <v>86.45</v>
      </c>
      <c r="H40" s="41">
        <f t="shared" si="7"/>
        <v>21.612500000000001</v>
      </c>
      <c r="I40" s="85">
        <v>3</v>
      </c>
      <c r="J40" s="86">
        <f t="shared" si="8"/>
        <v>63.5</v>
      </c>
      <c r="K40" s="87">
        <v>10</v>
      </c>
      <c r="L40" s="86">
        <f t="shared" si="9"/>
        <v>95</v>
      </c>
      <c r="M40" s="87">
        <v>10</v>
      </c>
      <c r="N40" s="86">
        <f t="shared" si="10"/>
        <v>95</v>
      </c>
      <c r="O40" s="88">
        <v>100</v>
      </c>
      <c r="P40" s="86">
        <f t="shared" si="11"/>
        <v>95</v>
      </c>
      <c r="Q40" s="89">
        <f t="shared" si="12"/>
        <v>87.125</v>
      </c>
      <c r="R40" s="90">
        <f t="shared" si="13"/>
        <v>4.3562500000000002</v>
      </c>
      <c r="S40" s="91">
        <v>10</v>
      </c>
      <c r="T40" s="48">
        <f t="shared" si="14"/>
        <v>95</v>
      </c>
      <c r="U40" s="49">
        <v>10</v>
      </c>
      <c r="V40" s="48">
        <f t="shared" si="15"/>
        <v>95</v>
      </c>
      <c r="W40" s="49">
        <v>16</v>
      </c>
      <c r="X40" s="48">
        <f t="shared" si="16"/>
        <v>74</v>
      </c>
      <c r="Y40" s="50">
        <f t="shared" si="17"/>
        <v>88</v>
      </c>
      <c r="Z40" s="92">
        <f t="shared" si="18"/>
        <v>8.8000000000000007</v>
      </c>
      <c r="AA40" s="93">
        <v>85</v>
      </c>
      <c r="AB40" s="94">
        <f t="shared" si="40"/>
        <v>17.650000000000002</v>
      </c>
      <c r="AC40" s="95">
        <v>76</v>
      </c>
      <c r="AD40" s="55">
        <f t="shared" si="41"/>
        <v>84.2</v>
      </c>
      <c r="AE40" s="56">
        <f t="shared" si="19"/>
        <v>33.68</v>
      </c>
      <c r="AF40" s="57">
        <f t="shared" si="0"/>
        <v>86.098749999999995</v>
      </c>
      <c r="AG40" s="58">
        <f t="shared" si="20"/>
        <v>43.049374999999998</v>
      </c>
      <c r="AH40" s="59">
        <f t="shared" si="1"/>
        <v>1.9000000000000199</v>
      </c>
      <c r="AI40" s="80">
        <v>26</v>
      </c>
      <c r="AJ40" s="81" t="str">
        <f t="shared" si="2"/>
        <v>DELA CRUZ, JUAN P.</v>
      </c>
      <c r="AK40" s="96">
        <v>30</v>
      </c>
      <c r="AL40" s="83">
        <f t="shared" si="21"/>
        <v>95</v>
      </c>
      <c r="AM40" s="84">
        <v>27</v>
      </c>
      <c r="AN40" s="83">
        <f t="shared" si="22"/>
        <v>90.5</v>
      </c>
      <c r="AO40" s="97">
        <f t="shared" si="23"/>
        <v>92.75</v>
      </c>
      <c r="AP40" s="98">
        <f t="shared" si="24"/>
        <v>23.1875</v>
      </c>
      <c r="AQ40" s="85">
        <v>3</v>
      </c>
      <c r="AR40" s="86">
        <f t="shared" si="42"/>
        <v>56.75</v>
      </c>
      <c r="AS40" s="99">
        <v>10</v>
      </c>
      <c r="AT40" s="100">
        <f t="shared" si="25"/>
        <v>95</v>
      </c>
      <c r="AU40" s="99">
        <v>10</v>
      </c>
      <c r="AV40" s="100">
        <f t="shared" si="26"/>
        <v>95</v>
      </c>
      <c r="AW40" s="88">
        <v>100</v>
      </c>
      <c r="AX40" s="101">
        <f t="shared" si="27"/>
        <v>95</v>
      </c>
      <c r="AY40" s="89">
        <f t="shared" si="28"/>
        <v>85.4375</v>
      </c>
      <c r="AZ40" s="90">
        <f t="shared" si="29"/>
        <v>4.2718750000000005</v>
      </c>
      <c r="BA40" s="102">
        <v>10</v>
      </c>
      <c r="BB40" s="48">
        <f t="shared" si="30"/>
        <v>95</v>
      </c>
      <c r="BC40" s="49">
        <v>10</v>
      </c>
      <c r="BD40" s="48">
        <f t="shared" si="31"/>
        <v>95</v>
      </c>
      <c r="BE40" s="49">
        <v>10</v>
      </c>
      <c r="BF40" s="48">
        <f t="shared" si="32"/>
        <v>95</v>
      </c>
      <c r="BG40" s="50">
        <f t="shared" si="33"/>
        <v>95</v>
      </c>
      <c r="BH40" s="69">
        <f t="shared" si="34"/>
        <v>9.5</v>
      </c>
      <c r="BI40" s="103">
        <v>75</v>
      </c>
      <c r="BJ40" s="104">
        <f t="shared" si="43"/>
        <v>16.75</v>
      </c>
      <c r="BK40" s="95">
        <v>80</v>
      </c>
      <c r="BL40" s="105">
        <f t="shared" si="44"/>
        <v>86</v>
      </c>
      <c r="BM40" s="106">
        <f t="shared" si="35"/>
        <v>34.4</v>
      </c>
      <c r="BN40" s="75">
        <f t="shared" si="36"/>
        <v>88.109375</v>
      </c>
      <c r="BO40" s="107">
        <f t="shared" si="37"/>
        <v>44.0546875</v>
      </c>
      <c r="BP40" s="108">
        <f t="shared" si="38"/>
        <v>87.104062499999998</v>
      </c>
      <c r="BQ40" s="109">
        <f t="shared" si="3"/>
        <v>1.79000000000003</v>
      </c>
      <c r="BR40" s="79" t="str">
        <f t="shared" si="39"/>
        <v>PASSED</v>
      </c>
    </row>
    <row r="41" spans="1:71" ht="15" customHeight="1" x14ac:dyDescent="0.3">
      <c r="A41" s="80">
        <v>27</v>
      </c>
      <c r="B41" s="81" t="s">
        <v>46</v>
      </c>
      <c r="C41" s="82">
        <v>24.599999999999998</v>
      </c>
      <c r="D41" s="83">
        <f t="shared" si="4"/>
        <v>86.9</v>
      </c>
      <c r="E41" s="84">
        <v>18</v>
      </c>
      <c r="F41" s="83">
        <f t="shared" si="5"/>
        <v>77</v>
      </c>
      <c r="G41" s="40">
        <f t="shared" si="6"/>
        <v>81.95</v>
      </c>
      <c r="H41" s="41">
        <f t="shared" si="7"/>
        <v>20.487500000000001</v>
      </c>
      <c r="I41" s="85">
        <v>7</v>
      </c>
      <c r="J41" s="86">
        <f t="shared" si="8"/>
        <v>81.5</v>
      </c>
      <c r="K41" s="87">
        <v>10</v>
      </c>
      <c r="L41" s="86">
        <f t="shared" si="9"/>
        <v>95</v>
      </c>
      <c r="M41" s="87">
        <v>10</v>
      </c>
      <c r="N41" s="86">
        <f t="shared" si="10"/>
        <v>95</v>
      </c>
      <c r="O41" s="88">
        <v>100</v>
      </c>
      <c r="P41" s="86">
        <f t="shared" si="11"/>
        <v>95</v>
      </c>
      <c r="Q41" s="89">
        <f t="shared" si="12"/>
        <v>91.625</v>
      </c>
      <c r="R41" s="90">
        <f t="shared" si="13"/>
        <v>4.5812499999999998</v>
      </c>
      <c r="S41" s="91">
        <v>10</v>
      </c>
      <c r="T41" s="48">
        <f t="shared" si="14"/>
        <v>95</v>
      </c>
      <c r="U41" s="49">
        <v>10</v>
      </c>
      <c r="V41" s="48">
        <f t="shared" si="15"/>
        <v>95</v>
      </c>
      <c r="W41" s="49">
        <v>21</v>
      </c>
      <c r="X41" s="48">
        <f t="shared" si="16"/>
        <v>81.5</v>
      </c>
      <c r="Y41" s="50">
        <f t="shared" si="17"/>
        <v>90.5</v>
      </c>
      <c r="Z41" s="92">
        <f t="shared" si="18"/>
        <v>9.0500000000000007</v>
      </c>
      <c r="AA41" s="93">
        <v>70</v>
      </c>
      <c r="AB41" s="94">
        <f t="shared" si="40"/>
        <v>16.3</v>
      </c>
      <c r="AC41" s="95">
        <v>72</v>
      </c>
      <c r="AD41" s="55">
        <f t="shared" si="41"/>
        <v>82.4</v>
      </c>
      <c r="AE41" s="56">
        <f t="shared" si="19"/>
        <v>32.96</v>
      </c>
      <c r="AF41" s="57">
        <f t="shared" si="0"/>
        <v>83.378749999999997</v>
      </c>
      <c r="AG41" s="58">
        <f t="shared" si="20"/>
        <v>41.689374999999998</v>
      </c>
      <c r="AH41" s="59">
        <f t="shared" si="1"/>
        <v>2.1700000000000199</v>
      </c>
      <c r="AI41" s="80">
        <v>27</v>
      </c>
      <c r="AJ41" s="81" t="str">
        <f t="shared" si="2"/>
        <v>DELA CRUZ, JUAN P.</v>
      </c>
      <c r="AK41" s="96">
        <v>30</v>
      </c>
      <c r="AL41" s="83">
        <f t="shared" si="21"/>
        <v>95</v>
      </c>
      <c r="AM41" s="84">
        <v>23</v>
      </c>
      <c r="AN41" s="83">
        <f t="shared" si="22"/>
        <v>84.5</v>
      </c>
      <c r="AO41" s="97">
        <f t="shared" si="23"/>
        <v>89.75</v>
      </c>
      <c r="AP41" s="98">
        <f t="shared" si="24"/>
        <v>22.4375</v>
      </c>
      <c r="AQ41" s="85">
        <v>6</v>
      </c>
      <c r="AR41" s="86">
        <f t="shared" si="42"/>
        <v>63.5</v>
      </c>
      <c r="AS41" s="99">
        <v>10</v>
      </c>
      <c r="AT41" s="100">
        <f t="shared" si="25"/>
        <v>95</v>
      </c>
      <c r="AU41" s="99">
        <v>10</v>
      </c>
      <c r="AV41" s="100">
        <f t="shared" si="26"/>
        <v>95</v>
      </c>
      <c r="AW41" s="88">
        <v>95</v>
      </c>
      <c r="AX41" s="101">
        <f t="shared" si="27"/>
        <v>92.75</v>
      </c>
      <c r="AY41" s="89">
        <f t="shared" si="28"/>
        <v>86.5625</v>
      </c>
      <c r="AZ41" s="90">
        <f t="shared" si="29"/>
        <v>4.328125</v>
      </c>
      <c r="BA41" s="102">
        <v>10</v>
      </c>
      <c r="BB41" s="48">
        <f t="shared" si="30"/>
        <v>95</v>
      </c>
      <c r="BC41" s="49">
        <v>10</v>
      </c>
      <c r="BD41" s="48">
        <f t="shared" si="31"/>
        <v>95</v>
      </c>
      <c r="BE41" s="49">
        <v>10</v>
      </c>
      <c r="BF41" s="48">
        <f t="shared" si="32"/>
        <v>95</v>
      </c>
      <c r="BG41" s="50">
        <f t="shared" si="33"/>
        <v>95</v>
      </c>
      <c r="BH41" s="69">
        <f t="shared" si="34"/>
        <v>9.5</v>
      </c>
      <c r="BI41" s="103">
        <v>80</v>
      </c>
      <c r="BJ41" s="104">
        <f t="shared" si="43"/>
        <v>17.2</v>
      </c>
      <c r="BK41" s="95">
        <v>66</v>
      </c>
      <c r="BL41" s="105">
        <f t="shared" si="44"/>
        <v>79.7</v>
      </c>
      <c r="BM41" s="106">
        <f t="shared" si="35"/>
        <v>31.880000000000003</v>
      </c>
      <c r="BN41" s="75">
        <f t="shared" si="36"/>
        <v>85.345625000000013</v>
      </c>
      <c r="BO41" s="107">
        <f t="shared" si="37"/>
        <v>42.672812500000006</v>
      </c>
      <c r="BP41" s="108">
        <f t="shared" si="38"/>
        <v>84.362187500000005</v>
      </c>
      <c r="BQ41" s="109">
        <f t="shared" si="3"/>
        <v>2.0700000000000198</v>
      </c>
      <c r="BR41" s="79" t="str">
        <f t="shared" si="39"/>
        <v>PASSED</v>
      </c>
    </row>
    <row r="42" spans="1:71" ht="15" customHeight="1" x14ac:dyDescent="0.3">
      <c r="A42" s="80">
        <v>28</v>
      </c>
      <c r="B42" s="81" t="s">
        <v>46</v>
      </c>
      <c r="C42" s="82">
        <v>18.599999999999998</v>
      </c>
      <c r="D42" s="83">
        <f t="shared" si="4"/>
        <v>77.899999999999991</v>
      </c>
      <c r="E42" s="84">
        <v>7</v>
      </c>
      <c r="F42" s="83">
        <f t="shared" si="5"/>
        <v>60.5</v>
      </c>
      <c r="G42" s="40">
        <f t="shared" si="6"/>
        <v>69.199999999999989</v>
      </c>
      <c r="H42" s="41">
        <f t="shared" si="7"/>
        <v>17.299999999999997</v>
      </c>
      <c r="I42" s="85">
        <v>3</v>
      </c>
      <c r="J42" s="86">
        <f t="shared" si="8"/>
        <v>63.5</v>
      </c>
      <c r="K42" s="87">
        <v>10</v>
      </c>
      <c r="L42" s="86">
        <f t="shared" si="9"/>
        <v>95</v>
      </c>
      <c r="M42" s="87">
        <v>10</v>
      </c>
      <c r="N42" s="86">
        <f t="shared" si="10"/>
        <v>95</v>
      </c>
      <c r="O42" s="88">
        <v>95</v>
      </c>
      <c r="P42" s="86">
        <f t="shared" si="11"/>
        <v>92.75</v>
      </c>
      <c r="Q42" s="89">
        <f t="shared" si="12"/>
        <v>86.5625</v>
      </c>
      <c r="R42" s="90">
        <f t="shared" si="13"/>
        <v>4.328125</v>
      </c>
      <c r="S42" s="91">
        <v>10</v>
      </c>
      <c r="T42" s="48">
        <f t="shared" si="14"/>
        <v>95</v>
      </c>
      <c r="U42" s="49">
        <v>0</v>
      </c>
      <c r="V42" s="48">
        <f t="shared" si="15"/>
        <v>50</v>
      </c>
      <c r="W42" s="49">
        <v>21</v>
      </c>
      <c r="X42" s="48">
        <f t="shared" si="16"/>
        <v>81.5</v>
      </c>
      <c r="Y42" s="50">
        <f t="shared" si="17"/>
        <v>75.5</v>
      </c>
      <c r="Z42" s="92">
        <f t="shared" si="18"/>
        <v>7.5500000000000007</v>
      </c>
      <c r="AA42" s="93">
        <v>75</v>
      </c>
      <c r="AB42" s="94">
        <f t="shared" si="40"/>
        <v>16.75</v>
      </c>
      <c r="AC42" s="95">
        <v>74</v>
      </c>
      <c r="AD42" s="55">
        <f t="shared" si="41"/>
        <v>83.3</v>
      </c>
      <c r="AE42" s="56">
        <f t="shared" si="19"/>
        <v>33.32</v>
      </c>
      <c r="AF42" s="57">
        <f t="shared" si="0"/>
        <v>79.248124999999987</v>
      </c>
      <c r="AG42" s="58">
        <f t="shared" si="20"/>
        <v>39.624062499999994</v>
      </c>
      <c r="AH42" s="59">
        <f t="shared" si="1"/>
        <v>2.5800000000000098</v>
      </c>
      <c r="AI42" s="80">
        <v>28</v>
      </c>
      <c r="AJ42" s="81" t="str">
        <f t="shared" si="2"/>
        <v>DELA CRUZ, JUAN P.</v>
      </c>
      <c r="AK42" s="96">
        <v>30</v>
      </c>
      <c r="AL42" s="83">
        <f t="shared" si="21"/>
        <v>95</v>
      </c>
      <c r="AM42" s="84">
        <v>18</v>
      </c>
      <c r="AN42" s="83">
        <f t="shared" si="22"/>
        <v>77</v>
      </c>
      <c r="AO42" s="97">
        <f t="shared" si="23"/>
        <v>86</v>
      </c>
      <c r="AP42" s="98">
        <f t="shared" si="24"/>
        <v>21.5</v>
      </c>
      <c r="AQ42" s="85">
        <v>13</v>
      </c>
      <c r="AR42" s="86">
        <f t="shared" si="42"/>
        <v>79.25</v>
      </c>
      <c r="AS42" s="99">
        <v>10</v>
      </c>
      <c r="AT42" s="100">
        <f t="shared" si="25"/>
        <v>95</v>
      </c>
      <c r="AU42" s="99">
        <v>10</v>
      </c>
      <c r="AV42" s="100">
        <f t="shared" si="26"/>
        <v>95</v>
      </c>
      <c r="AW42" s="88">
        <v>100</v>
      </c>
      <c r="AX42" s="101">
        <f t="shared" si="27"/>
        <v>95</v>
      </c>
      <c r="AY42" s="89">
        <f t="shared" si="28"/>
        <v>91.0625</v>
      </c>
      <c r="AZ42" s="90">
        <f t="shared" si="29"/>
        <v>4.5531250000000005</v>
      </c>
      <c r="BA42" s="102">
        <v>10</v>
      </c>
      <c r="BB42" s="48">
        <f t="shared" si="30"/>
        <v>95</v>
      </c>
      <c r="BC42" s="49">
        <v>10</v>
      </c>
      <c r="BD42" s="48">
        <f t="shared" si="31"/>
        <v>95</v>
      </c>
      <c r="BE42" s="49">
        <v>10</v>
      </c>
      <c r="BF42" s="48">
        <f t="shared" si="32"/>
        <v>95</v>
      </c>
      <c r="BG42" s="50">
        <f t="shared" si="33"/>
        <v>95</v>
      </c>
      <c r="BH42" s="69">
        <f t="shared" si="34"/>
        <v>9.5</v>
      </c>
      <c r="BI42" s="103">
        <v>85</v>
      </c>
      <c r="BJ42" s="104">
        <f t="shared" si="43"/>
        <v>17.650000000000002</v>
      </c>
      <c r="BK42" s="95">
        <v>66</v>
      </c>
      <c r="BL42" s="105">
        <f t="shared" si="44"/>
        <v>79.7</v>
      </c>
      <c r="BM42" s="106">
        <f t="shared" si="35"/>
        <v>31.880000000000003</v>
      </c>
      <c r="BN42" s="75">
        <f t="shared" si="36"/>
        <v>85.083124999999995</v>
      </c>
      <c r="BO42" s="107">
        <f t="shared" si="37"/>
        <v>42.541562499999998</v>
      </c>
      <c r="BP42" s="108">
        <f t="shared" si="38"/>
        <v>82.165624999999991</v>
      </c>
      <c r="BQ42" s="109">
        <f t="shared" si="3"/>
        <v>2.2900000000000098</v>
      </c>
      <c r="BR42" s="79" t="str">
        <f t="shared" si="39"/>
        <v>PASSED</v>
      </c>
    </row>
    <row r="43" spans="1:71" ht="15" customHeight="1" x14ac:dyDescent="0.3">
      <c r="A43" s="80">
        <v>29</v>
      </c>
      <c r="B43" s="81" t="s">
        <v>46</v>
      </c>
      <c r="C43" s="82">
        <v>24.599999999999998</v>
      </c>
      <c r="D43" s="83">
        <f t="shared" si="4"/>
        <v>86.9</v>
      </c>
      <c r="E43" s="84">
        <v>21</v>
      </c>
      <c r="F43" s="83">
        <f t="shared" si="5"/>
        <v>81.5</v>
      </c>
      <c r="G43" s="40">
        <f t="shared" si="6"/>
        <v>84.2</v>
      </c>
      <c r="H43" s="41">
        <f t="shared" si="7"/>
        <v>21.05</v>
      </c>
      <c r="I43" s="85">
        <v>7</v>
      </c>
      <c r="J43" s="86">
        <f t="shared" si="8"/>
        <v>81.5</v>
      </c>
      <c r="K43" s="87">
        <v>10</v>
      </c>
      <c r="L43" s="86">
        <f t="shared" si="9"/>
        <v>95</v>
      </c>
      <c r="M43" s="87">
        <v>10</v>
      </c>
      <c r="N43" s="86">
        <f t="shared" si="10"/>
        <v>95</v>
      </c>
      <c r="O43" s="88">
        <v>100</v>
      </c>
      <c r="P43" s="86">
        <f t="shared" si="11"/>
        <v>95</v>
      </c>
      <c r="Q43" s="89">
        <f t="shared" si="12"/>
        <v>91.625</v>
      </c>
      <c r="R43" s="90">
        <f t="shared" si="13"/>
        <v>4.5812499999999998</v>
      </c>
      <c r="S43" s="91">
        <v>10</v>
      </c>
      <c r="T43" s="48">
        <f t="shared" si="14"/>
        <v>95</v>
      </c>
      <c r="U43" s="49">
        <v>10</v>
      </c>
      <c r="V43" s="48">
        <f t="shared" si="15"/>
        <v>95</v>
      </c>
      <c r="W43" s="49">
        <v>21</v>
      </c>
      <c r="X43" s="48">
        <f t="shared" si="16"/>
        <v>81.5</v>
      </c>
      <c r="Y43" s="50">
        <f t="shared" si="17"/>
        <v>90.5</v>
      </c>
      <c r="Z43" s="92">
        <f t="shared" si="18"/>
        <v>9.0500000000000007</v>
      </c>
      <c r="AA43" s="93">
        <v>70</v>
      </c>
      <c r="AB43" s="94">
        <f t="shared" si="40"/>
        <v>16.3</v>
      </c>
      <c r="AC43" s="95">
        <v>66</v>
      </c>
      <c r="AD43" s="55">
        <f t="shared" si="41"/>
        <v>79.7</v>
      </c>
      <c r="AE43" s="56">
        <f t="shared" si="19"/>
        <v>31.880000000000003</v>
      </c>
      <c r="AF43" s="57">
        <f t="shared" si="0"/>
        <v>82.861250000000013</v>
      </c>
      <c r="AG43" s="58">
        <f t="shared" si="20"/>
        <v>41.430625000000006</v>
      </c>
      <c r="AH43" s="59">
        <f t="shared" si="1"/>
        <v>2.2200000000000202</v>
      </c>
      <c r="AI43" s="80">
        <v>29</v>
      </c>
      <c r="AJ43" s="81" t="str">
        <f t="shared" si="2"/>
        <v>DELA CRUZ, JUAN P.</v>
      </c>
      <c r="AK43" s="96">
        <v>30</v>
      </c>
      <c r="AL43" s="83">
        <f t="shared" si="21"/>
        <v>95</v>
      </c>
      <c r="AM43" s="84">
        <v>25</v>
      </c>
      <c r="AN43" s="83">
        <f t="shared" si="22"/>
        <v>87.5</v>
      </c>
      <c r="AO43" s="97">
        <f t="shared" si="23"/>
        <v>91.25</v>
      </c>
      <c r="AP43" s="98">
        <f t="shared" si="24"/>
        <v>22.8125</v>
      </c>
      <c r="AQ43" s="85">
        <v>0</v>
      </c>
      <c r="AR43" s="86">
        <f t="shared" si="42"/>
        <v>50</v>
      </c>
      <c r="AS43" s="99">
        <v>10</v>
      </c>
      <c r="AT43" s="100">
        <f t="shared" si="25"/>
        <v>95</v>
      </c>
      <c r="AU43" s="99">
        <v>10</v>
      </c>
      <c r="AV43" s="100">
        <f t="shared" si="26"/>
        <v>95</v>
      </c>
      <c r="AW43" s="88">
        <v>90</v>
      </c>
      <c r="AX43" s="101">
        <f t="shared" si="27"/>
        <v>90.5</v>
      </c>
      <c r="AY43" s="89">
        <f t="shared" si="28"/>
        <v>82.625</v>
      </c>
      <c r="AZ43" s="90">
        <f t="shared" si="29"/>
        <v>4.1312500000000005</v>
      </c>
      <c r="BA43" s="102">
        <v>10</v>
      </c>
      <c r="BB43" s="48">
        <f t="shared" si="30"/>
        <v>95</v>
      </c>
      <c r="BC43" s="49">
        <v>10</v>
      </c>
      <c r="BD43" s="48">
        <f t="shared" si="31"/>
        <v>95</v>
      </c>
      <c r="BE43" s="49">
        <v>10</v>
      </c>
      <c r="BF43" s="48">
        <f t="shared" si="32"/>
        <v>95</v>
      </c>
      <c r="BG43" s="50">
        <f t="shared" si="33"/>
        <v>95</v>
      </c>
      <c r="BH43" s="69">
        <f t="shared" si="34"/>
        <v>9.5</v>
      </c>
      <c r="BI43" s="103">
        <v>80</v>
      </c>
      <c r="BJ43" s="104">
        <f t="shared" si="43"/>
        <v>17.2</v>
      </c>
      <c r="BK43" s="95">
        <v>66</v>
      </c>
      <c r="BL43" s="105">
        <f t="shared" si="44"/>
        <v>79.7</v>
      </c>
      <c r="BM43" s="106">
        <f t="shared" si="35"/>
        <v>31.880000000000003</v>
      </c>
      <c r="BN43" s="75">
        <f t="shared" si="36"/>
        <v>85.523750000000007</v>
      </c>
      <c r="BO43" s="107">
        <f t="shared" si="37"/>
        <v>42.761875000000003</v>
      </c>
      <c r="BP43" s="108">
        <f t="shared" si="38"/>
        <v>84.19250000000001</v>
      </c>
      <c r="BQ43" s="109">
        <f t="shared" si="3"/>
        <v>2.0900000000000198</v>
      </c>
      <c r="BR43" s="79" t="str">
        <f t="shared" si="39"/>
        <v>PASSED</v>
      </c>
    </row>
    <row r="44" spans="1:71" ht="15" customHeight="1" x14ac:dyDescent="0.3">
      <c r="A44" s="80">
        <v>30</v>
      </c>
      <c r="B44" s="81" t="s">
        <v>46</v>
      </c>
      <c r="C44" s="82">
        <v>25.2</v>
      </c>
      <c r="D44" s="83">
        <f t="shared" si="4"/>
        <v>87.8</v>
      </c>
      <c r="E44" s="84">
        <v>25</v>
      </c>
      <c r="F44" s="83">
        <f t="shared" si="5"/>
        <v>87.5</v>
      </c>
      <c r="G44" s="40">
        <f t="shared" si="6"/>
        <v>87.65</v>
      </c>
      <c r="H44" s="41">
        <f t="shared" si="7"/>
        <v>21.912500000000001</v>
      </c>
      <c r="I44" s="85">
        <v>8</v>
      </c>
      <c r="J44" s="86">
        <f t="shared" si="8"/>
        <v>86</v>
      </c>
      <c r="K44" s="87">
        <v>10</v>
      </c>
      <c r="L44" s="86">
        <f t="shared" si="9"/>
        <v>95</v>
      </c>
      <c r="M44" s="87">
        <v>10</v>
      </c>
      <c r="N44" s="86">
        <f t="shared" si="10"/>
        <v>95</v>
      </c>
      <c r="O44" s="88">
        <v>100</v>
      </c>
      <c r="P44" s="86">
        <f t="shared" si="11"/>
        <v>95</v>
      </c>
      <c r="Q44" s="89">
        <f t="shared" si="12"/>
        <v>92.75</v>
      </c>
      <c r="R44" s="90">
        <f t="shared" si="13"/>
        <v>4.6375000000000002</v>
      </c>
      <c r="S44" s="91">
        <v>10</v>
      </c>
      <c r="T44" s="48">
        <f t="shared" si="14"/>
        <v>95</v>
      </c>
      <c r="U44" s="49">
        <v>10</v>
      </c>
      <c r="V44" s="48">
        <f t="shared" si="15"/>
        <v>95</v>
      </c>
      <c r="W44" s="49">
        <v>22</v>
      </c>
      <c r="X44" s="48">
        <f t="shared" si="16"/>
        <v>83</v>
      </c>
      <c r="Y44" s="50">
        <f t="shared" si="17"/>
        <v>91</v>
      </c>
      <c r="Z44" s="92">
        <f t="shared" si="18"/>
        <v>9.1</v>
      </c>
      <c r="AA44" s="93">
        <v>85</v>
      </c>
      <c r="AB44" s="94">
        <f t="shared" si="40"/>
        <v>17.650000000000002</v>
      </c>
      <c r="AC44" s="95">
        <v>76</v>
      </c>
      <c r="AD44" s="55">
        <f t="shared" si="41"/>
        <v>84.2</v>
      </c>
      <c r="AE44" s="56">
        <f t="shared" si="19"/>
        <v>33.68</v>
      </c>
      <c r="AF44" s="57">
        <f t="shared" si="0"/>
        <v>86.97999999999999</v>
      </c>
      <c r="AG44" s="58">
        <f t="shared" si="20"/>
        <v>43.489999999999995</v>
      </c>
      <c r="AH44" s="59">
        <f t="shared" si="1"/>
        <v>1.81000000000002</v>
      </c>
      <c r="AI44" s="80">
        <v>30</v>
      </c>
      <c r="AJ44" s="81" t="str">
        <f t="shared" si="2"/>
        <v>DELA CRUZ, JUAN P.</v>
      </c>
      <c r="AK44" s="96">
        <v>13.999999999999998</v>
      </c>
      <c r="AL44" s="83">
        <f t="shared" si="21"/>
        <v>71</v>
      </c>
      <c r="AM44" s="84">
        <v>24</v>
      </c>
      <c r="AN44" s="83">
        <f t="shared" si="22"/>
        <v>86</v>
      </c>
      <c r="AO44" s="97">
        <f t="shared" si="23"/>
        <v>78.5</v>
      </c>
      <c r="AP44" s="98">
        <f t="shared" si="24"/>
        <v>19.625</v>
      </c>
      <c r="AQ44" s="85">
        <v>20</v>
      </c>
      <c r="AR44" s="86">
        <f t="shared" si="42"/>
        <v>95</v>
      </c>
      <c r="AS44" s="99">
        <v>10</v>
      </c>
      <c r="AT44" s="100">
        <f t="shared" si="25"/>
        <v>95</v>
      </c>
      <c r="AU44" s="99">
        <v>10</v>
      </c>
      <c r="AV44" s="100">
        <f t="shared" si="26"/>
        <v>95</v>
      </c>
      <c r="AW44" s="88">
        <v>98</v>
      </c>
      <c r="AX44" s="101">
        <f t="shared" si="27"/>
        <v>94.1</v>
      </c>
      <c r="AY44" s="89">
        <f t="shared" si="28"/>
        <v>94.775000000000006</v>
      </c>
      <c r="AZ44" s="90">
        <f t="shared" si="29"/>
        <v>4.7387500000000005</v>
      </c>
      <c r="BA44" s="102">
        <v>2</v>
      </c>
      <c r="BB44" s="48">
        <f t="shared" si="30"/>
        <v>59</v>
      </c>
      <c r="BC44" s="49">
        <v>2</v>
      </c>
      <c r="BD44" s="48">
        <f t="shared" si="31"/>
        <v>59</v>
      </c>
      <c r="BE44" s="49">
        <v>10</v>
      </c>
      <c r="BF44" s="48">
        <f t="shared" si="32"/>
        <v>95</v>
      </c>
      <c r="BG44" s="50">
        <f t="shared" si="33"/>
        <v>71</v>
      </c>
      <c r="BH44" s="69">
        <f t="shared" si="34"/>
        <v>7.1000000000000005</v>
      </c>
      <c r="BI44" s="103">
        <v>90</v>
      </c>
      <c r="BJ44" s="104">
        <f t="shared" si="43"/>
        <v>18.100000000000001</v>
      </c>
      <c r="BK44" s="95">
        <v>78</v>
      </c>
      <c r="BL44" s="105">
        <f t="shared" si="44"/>
        <v>85.1</v>
      </c>
      <c r="BM44" s="106">
        <f t="shared" si="35"/>
        <v>34.04</v>
      </c>
      <c r="BN44" s="75">
        <f t="shared" si="36"/>
        <v>83.603749999999991</v>
      </c>
      <c r="BO44" s="107">
        <f t="shared" si="37"/>
        <v>41.801874999999995</v>
      </c>
      <c r="BP44" s="108">
        <f t="shared" si="38"/>
        <v>85.29187499999999</v>
      </c>
      <c r="BQ44" s="109">
        <f t="shared" si="3"/>
        <v>1.98000000000002</v>
      </c>
      <c r="BR44" s="79" t="str">
        <f t="shared" si="39"/>
        <v>PASSED</v>
      </c>
    </row>
    <row r="45" spans="1:71" ht="15" customHeight="1" x14ac:dyDescent="0.3">
      <c r="A45" s="80">
        <v>31</v>
      </c>
      <c r="B45" s="81" t="s">
        <v>46</v>
      </c>
      <c r="C45" s="82">
        <v>13.2</v>
      </c>
      <c r="D45" s="83">
        <f t="shared" si="4"/>
        <v>69.8</v>
      </c>
      <c r="E45" s="84">
        <v>10</v>
      </c>
      <c r="F45" s="83">
        <f t="shared" si="5"/>
        <v>65</v>
      </c>
      <c r="G45" s="40">
        <f t="shared" si="6"/>
        <v>67.400000000000006</v>
      </c>
      <c r="H45" s="41">
        <f t="shared" si="7"/>
        <v>16.850000000000001</v>
      </c>
      <c r="I45" s="85">
        <v>4</v>
      </c>
      <c r="J45" s="86">
        <f t="shared" si="8"/>
        <v>68</v>
      </c>
      <c r="K45" s="87">
        <v>10</v>
      </c>
      <c r="L45" s="86">
        <f t="shared" si="9"/>
        <v>95</v>
      </c>
      <c r="M45" s="87">
        <v>10</v>
      </c>
      <c r="N45" s="86">
        <f t="shared" si="10"/>
        <v>95</v>
      </c>
      <c r="O45" s="88">
        <v>95</v>
      </c>
      <c r="P45" s="86">
        <f t="shared" si="11"/>
        <v>92.75</v>
      </c>
      <c r="Q45" s="89">
        <f t="shared" si="12"/>
        <v>87.6875</v>
      </c>
      <c r="R45" s="90">
        <f t="shared" si="13"/>
        <v>4.3843750000000004</v>
      </c>
      <c r="S45" s="91">
        <v>0</v>
      </c>
      <c r="T45" s="48">
        <f t="shared" si="14"/>
        <v>50</v>
      </c>
      <c r="U45" s="49">
        <v>10</v>
      </c>
      <c r="V45" s="48">
        <f t="shared" si="15"/>
        <v>95</v>
      </c>
      <c r="W45" s="49">
        <v>12</v>
      </c>
      <c r="X45" s="48">
        <f t="shared" si="16"/>
        <v>68</v>
      </c>
      <c r="Y45" s="50">
        <f t="shared" si="17"/>
        <v>71</v>
      </c>
      <c r="Z45" s="92">
        <f t="shared" si="18"/>
        <v>7.1000000000000005</v>
      </c>
      <c r="AA45" s="93">
        <v>85</v>
      </c>
      <c r="AB45" s="94">
        <f t="shared" si="40"/>
        <v>17.650000000000002</v>
      </c>
      <c r="AC45" s="95">
        <v>60</v>
      </c>
      <c r="AD45" s="55">
        <f t="shared" si="41"/>
        <v>77</v>
      </c>
      <c r="AE45" s="56">
        <f t="shared" si="19"/>
        <v>30.8</v>
      </c>
      <c r="AF45" s="57">
        <f t="shared" si="0"/>
        <v>76.784374999999997</v>
      </c>
      <c r="AG45" s="58">
        <f t="shared" si="20"/>
        <v>38.392187499999999</v>
      </c>
      <c r="AH45" s="59">
        <f t="shared" si="1"/>
        <v>2.83</v>
      </c>
      <c r="AI45" s="80">
        <v>31</v>
      </c>
      <c r="AJ45" s="81" t="str">
        <f t="shared" si="2"/>
        <v>DELA CRUZ, JUAN P.</v>
      </c>
      <c r="AK45" s="96">
        <v>30</v>
      </c>
      <c r="AL45" s="83">
        <f t="shared" si="21"/>
        <v>95</v>
      </c>
      <c r="AM45" s="84">
        <v>21</v>
      </c>
      <c r="AN45" s="83">
        <f t="shared" si="22"/>
        <v>81.5</v>
      </c>
      <c r="AO45" s="97">
        <f t="shared" si="23"/>
        <v>88.25</v>
      </c>
      <c r="AP45" s="98">
        <f t="shared" si="24"/>
        <v>22.0625</v>
      </c>
      <c r="AQ45" s="85">
        <v>13</v>
      </c>
      <c r="AR45" s="86">
        <f t="shared" si="42"/>
        <v>79.25</v>
      </c>
      <c r="AS45" s="99">
        <v>0</v>
      </c>
      <c r="AT45" s="100">
        <f t="shared" si="25"/>
        <v>50</v>
      </c>
      <c r="AU45" s="99">
        <v>10</v>
      </c>
      <c r="AV45" s="100">
        <f t="shared" si="26"/>
        <v>95</v>
      </c>
      <c r="AW45" s="88">
        <v>95</v>
      </c>
      <c r="AX45" s="101">
        <f t="shared" si="27"/>
        <v>92.75</v>
      </c>
      <c r="AY45" s="89">
        <f t="shared" si="28"/>
        <v>79.25</v>
      </c>
      <c r="AZ45" s="90">
        <f t="shared" si="29"/>
        <v>3.9625000000000004</v>
      </c>
      <c r="BA45" s="102">
        <v>10</v>
      </c>
      <c r="BB45" s="48">
        <f t="shared" si="30"/>
        <v>95</v>
      </c>
      <c r="BC45" s="49">
        <v>10</v>
      </c>
      <c r="BD45" s="48">
        <f t="shared" si="31"/>
        <v>95</v>
      </c>
      <c r="BE45" s="49">
        <v>10</v>
      </c>
      <c r="BF45" s="48">
        <f t="shared" si="32"/>
        <v>95</v>
      </c>
      <c r="BG45" s="50">
        <f t="shared" si="33"/>
        <v>95</v>
      </c>
      <c r="BH45" s="69">
        <f t="shared" si="34"/>
        <v>9.5</v>
      </c>
      <c r="BI45" s="103">
        <v>85</v>
      </c>
      <c r="BJ45" s="104">
        <f t="shared" si="43"/>
        <v>17.650000000000002</v>
      </c>
      <c r="BK45" s="95">
        <v>88</v>
      </c>
      <c r="BL45" s="105">
        <f t="shared" si="44"/>
        <v>89.6</v>
      </c>
      <c r="BM45" s="106">
        <f t="shared" si="35"/>
        <v>35.839999999999996</v>
      </c>
      <c r="BN45" s="75">
        <f t="shared" si="36"/>
        <v>89.014999999999986</v>
      </c>
      <c r="BO45" s="107">
        <f t="shared" si="37"/>
        <v>44.507499999999993</v>
      </c>
      <c r="BP45" s="108">
        <f t="shared" si="38"/>
        <v>82.899687499999999</v>
      </c>
      <c r="BQ45" s="109">
        <f t="shared" si="3"/>
        <v>2.2200000000000202</v>
      </c>
      <c r="BR45" s="79" t="str">
        <f t="shared" si="39"/>
        <v>PASSED</v>
      </c>
    </row>
    <row r="46" spans="1:71" ht="15" customHeight="1" x14ac:dyDescent="0.3">
      <c r="A46" s="80">
        <v>32</v>
      </c>
      <c r="B46" s="81" t="s">
        <v>46</v>
      </c>
      <c r="C46" s="82">
        <v>29.4</v>
      </c>
      <c r="D46" s="83">
        <f t="shared" si="4"/>
        <v>94.1</v>
      </c>
      <c r="E46" s="84">
        <v>10</v>
      </c>
      <c r="F46" s="83">
        <f t="shared" si="5"/>
        <v>65</v>
      </c>
      <c r="G46" s="40">
        <f t="shared" si="6"/>
        <v>79.55</v>
      </c>
      <c r="H46" s="41">
        <f t="shared" si="7"/>
        <v>19.887499999999999</v>
      </c>
      <c r="I46" s="85">
        <v>2</v>
      </c>
      <c r="J46" s="86">
        <f t="shared" si="8"/>
        <v>59</v>
      </c>
      <c r="K46" s="87">
        <v>10</v>
      </c>
      <c r="L46" s="86">
        <f t="shared" si="9"/>
        <v>95</v>
      </c>
      <c r="M46" s="87">
        <v>10</v>
      </c>
      <c r="N46" s="86">
        <f t="shared" si="10"/>
        <v>95</v>
      </c>
      <c r="O46" s="88">
        <v>95</v>
      </c>
      <c r="P46" s="86">
        <f t="shared" si="11"/>
        <v>92.75</v>
      </c>
      <c r="Q46" s="89">
        <f t="shared" si="12"/>
        <v>85.4375</v>
      </c>
      <c r="R46" s="90">
        <f t="shared" si="13"/>
        <v>4.2718750000000005</v>
      </c>
      <c r="S46" s="91">
        <v>10</v>
      </c>
      <c r="T46" s="48">
        <f t="shared" si="14"/>
        <v>95</v>
      </c>
      <c r="U46" s="49">
        <v>10</v>
      </c>
      <c r="V46" s="48">
        <f t="shared" si="15"/>
        <v>95</v>
      </c>
      <c r="W46" s="49">
        <v>29</v>
      </c>
      <c r="X46" s="48">
        <f t="shared" si="16"/>
        <v>93.5</v>
      </c>
      <c r="Y46" s="50">
        <f t="shared" si="17"/>
        <v>94.5</v>
      </c>
      <c r="Z46" s="92">
        <f t="shared" si="18"/>
        <v>9.4500000000000011</v>
      </c>
      <c r="AA46" s="93">
        <v>60</v>
      </c>
      <c r="AB46" s="94">
        <f t="shared" si="40"/>
        <v>15.4</v>
      </c>
      <c r="AC46" s="95">
        <v>60</v>
      </c>
      <c r="AD46" s="55">
        <f t="shared" si="41"/>
        <v>77</v>
      </c>
      <c r="AE46" s="56">
        <f t="shared" si="19"/>
        <v>30.8</v>
      </c>
      <c r="AF46" s="57">
        <f t="shared" si="0"/>
        <v>79.809375000000003</v>
      </c>
      <c r="AG46" s="58">
        <f t="shared" si="20"/>
        <v>39.904687500000001</v>
      </c>
      <c r="AH46" s="59">
        <f t="shared" si="1"/>
        <v>2.5200000000000098</v>
      </c>
      <c r="AI46" s="80">
        <v>32</v>
      </c>
      <c r="AJ46" s="81" t="str">
        <f t="shared" si="2"/>
        <v>DELA CRUZ, JUAN P.</v>
      </c>
      <c r="AK46" s="96">
        <v>30</v>
      </c>
      <c r="AL46" s="83">
        <f t="shared" si="21"/>
        <v>95</v>
      </c>
      <c r="AM46" s="84">
        <v>16</v>
      </c>
      <c r="AN46" s="83">
        <f t="shared" si="22"/>
        <v>74</v>
      </c>
      <c r="AO46" s="97">
        <f t="shared" si="23"/>
        <v>84.5</v>
      </c>
      <c r="AP46" s="98">
        <f t="shared" si="24"/>
        <v>21.125</v>
      </c>
      <c r="AQ46" s="85">
        <v>4</v>
      </c>
      <c r="AR46" s="86">
        <f t="shared" si="42"/>
        <v>59</v>
      </c>
      <c r="AS46" s="99">
        <v>10</v>
      </c>
      <c r="AT46" s="100">
        <f t="shared" si="25"/>
        <v>95</v>
      </c>
      <c r="AU46" s="99">
        <v>10</v>
      </c>
      <c r="AV46" s="100">
        <f t="shared" si="26"/>
        <v>95</v>
      </c>
      <c r="AW46" s="88">
        <v>100</v>
      </c>
      <c r="AX46" s="101">
        <f t="shared" si="27"/>
        <v>95</v>
      </c>
      <c r="AY46" s="89">
        <f t="shared" si="28"/>
        <v>86</v>
      </c>
      <c r="AZ46" s="90">
        <f t="shared" si="29"/>
        <v>4.3</v>
      </c>
      <c r="BA46" s="102">
        <v>10</v>
      </c>
      <c r="BB46" s="48">
        <f t="shared" si="30"/>
        <v>95</v>
      </c>
      <c r="BC46" s="49">
        <v>10</v>
      </c>
      <c r="BD46" s="48">
        <f t="shared" si="31"/>
        <v>95</v>
      </c>
      <c r="BE46" s="49">
        <v>10</v>
      </c>
      <c r="BF46" s="48">
        <f t="shared" si="32"/>
        <v>95</v>
      </c>
      <c r="BG46" s="50">
        <f t="shared" si="33"/>
        <v>95</v>
      </c>
      <c r="BH46" s="69">
        <f t="shared" si="34"/>
        <v>9.5</v>
      </c>
      <c r="BI46" s="103">
        <v>70</v>
      </c>
      <c r="BJ46" s="104">
        <f t="shared" si="43"/>
        <v>16.3</v>
      </c>
      <c r="BK46" s="95">
        <v>50</v>
      </c>
      <c r="BL46" s="105">
        <f t="shared" si="44"/>
        <v>72.5</v>
      </c>
      <c r="BM46" s="106">
        <f t="shared" si="35"/>
        <v>29</v>
      </c>
      <c r="BN46" s="75">
        <f t="shared" si="36"/>
        <v>80.224999999999994</v>
      </c>
      <c r="BO46" s="107">
        <f t="shared" si="37"/>
        <v>40.112499999999997</v>
      </c>
      <c r="BP46" s="108">
        <f t="shared" si="38"/>
        <v>80.017187500000006</v>
      </c>
      <c r="BQ46" s="109">
        <f t="shared" si="3"/>
        <v>2.5000000000000102</v>
      </c>
      <c r="BR46" s="79" t="str">
        <f t="shared" si="39"/>
        <v>PASSED</v>
      </c>
    </row>
    <row r="47" spans="1:71" ht="15" customHeight="1" x14ac:dyDescent="0.3">
      <c r="A47" s="80">
        <v>33</v>
      </c>
      <c r="B47" s="81" t="s">
        <v>46</v>
      </c>
      <c r="C47" s="82">
        <v>25.8</v>
      </c>
      <c r="D47" s="83">
        <f t="shared" si="4"/>
        <v>88.7</v>
      </c>
      <c r="E47" s="84">
        <v>12</v>
      </c>
      <c r="F47" s="83">
        <f t="shared" si="5"/>
        <v>68</v>
      </c>
      <c r="G47" s="40">
        <f t="shared" si="6"/>
        <v>78.349999999999994</v>
      </c>
      <c r="H47" s="41">
        <f t="shared" si="7"/>
        <v>19.587499999999999</v>
      </c>
      <c r="I47" s="85">
        <v>2</v>
      </c>
      <c r="J47" s="86">
        <f t="shared" si="8"/>
        <v>59</v>
      </c>
      <c r="K47" s="87">
        <v>10</v>
      </c>
      <c r="L47" s="86">
        <f t="shared" si="9"/>
        <v>95</v>
      </c>
      <c r="M47" s="87">
        <v>10</v>
      </c>
      <c r="N47" s="86">
        <f t="shared" si="10"/>
        <v>95</v>
      </c>
      <c r="O47" s="88">
        <v>100</v>
      </c>
      <c r="P47" s="86">
        <f t="shared" si="11"/>
        <v>95</v>
      </c>
      <c r="Q47" s="89">
        <f t="shared" si="12"/>
        <v>86</v>
      </c>
      <c r="R47" s="90">
        <f t="shared" si="13"/>
        <v>4.3</v>
      </c>
      <c r="S47" s="91">
        <v>6</v>
      </c>
      <c r="T47" s="48">
        <f t="shared" si="14"/>
        <v>77</v>
      </c>
      <c r="U47" s="49">
        <v>10</v>
      </c>
      <c r="V47" s="48">
        <f t="shared" si="15"/>
        <v>95</v>
      </c>
      <c r="W47" s="49">
        <v>27</v>
      </c>
      <c r="X47" s="48">
        <f t="shared" si="16"/>
        <v>90.5</v>
      </c>
      <c r="Y47" s="50">
        <f t="shared" si="17"/>
        <v>87.5</v>
      </c>
      <c r="Z47" s="92">
        <f t="shared" si="18"/>
        <v>8.75</v>
      </c>
      <c r="AA47" s="93">
        <v>60</v>
      </c>
      <c r="AB47" s="94">
        <f t="shared" si="40"/>
        <v>15.4</v>
      </c>
      <c r="AC47" s="95">
        <v>60</v>
      </c>
      <c r="AD47" s="55">
        <f t="shared" si="41"/>
        <v>77</v>
      </c>
      <c r="AE47" s="56">
        <f t="shared" si="19"/>
        <v>30.8</v>
      </c>
      <c r="AF47" s="57">
        <f t="shared" si="0"/>
        <v>78.837500000000006</v>
      </c>
      <c r="AG47" s="58">
        <f t="shared" si="20"/>
        <v>39.418750000000003</v>
      </c>
      <c r="AH47" s="59">
        <f t="shared" si="1"/>
        <v>2.6200000000000099</v>
      </c>
      <c r="AI47" s="80">
        <v>33</v>
      </c>
      <c r="AJ47" s="81" t="str">
        <f t="shared" si="2"/>
        <v>DELA CRUZ, JUAN P.</v>
      </c>
      <c r="AK47" s="96">
        <v>13.999999999999998</v>
      </c>
      <c r="AL47" s="83">
        <f t="shared" si="21"/>
        <v>71</v>
      </c>
      <c r="AM47" s="84">
        <v>17</v>
      </c>
      <c r="AN47" s="83">
        <f t="shared" si="22"/>
        <v>75.5</v>
      </c>
      <c r="AO47" s="97">
        <f t="shared" si="23"/>
        <v>73.25</v>
      </c>
      <c r="AP47" s="98">
        <f t="shared" si="24"/>
        <v>18.3125</v>
      </c>
      <c r="AQ47" s="85">
        <v>6</v>
      </c>
      <c r="AR47" s="86">
        <f t="shared" si="42"/>
        <v>63.5</v>
      </c>
      <c r="AS47" s="99">
        <v>10</v>
      </c>
      <c r="AT47" s="100">
        <f t="shared" si="25"/>
        <v>95</v>
      </c>
      <c r="AU47" s="99">
        <v>10</v>
      </c>
      <c r="AV47" s="100">
        <f t="shared" si="26"/>
        <v>95</v>
      </c>
      <c r="AW47" s="88">
        <v>93</v>
      </c>
      <c r="AX47" s="101">
        <f t="shared" si="27"/>
        <v>91.85</v>
      </c>
      <c r="AY47" s="89">
        <f t="shared" si="28"/>
        <v>86.337500000000006</v>
      </c>
      <c r="AZ47" s="90">
        <f t="shared" si="29"/>
        <v>4.3168750000000005</v>
      </c>
      <c r="BA47" s="102">
        <v>2</v>
      </c>
      <c r="BB47" s="48">
        <f t="shared" si="30"/>
        <v>59</v>
      </c>
      <c r="BC47" s="49">
        <v>2</v>
      </c>
      <c r="BD47" s="48">
        <f t="shared" si="31"/>
        <v>59</v>
      </c>
      <c r="BE47" s="49">
        <v>10</v>
      </c>
      <c r="BF47" s="48">
        <f t="shared" si="32"/>
        <v>95</v>
      </c>
      <c r="BG47" s="50">
        <f t="shared" si="33"/>
        <v>71</v>
      </c>
      <c r="BH47" s="69">
        <f t="shared" si="34"/>
        <v>7.1000000000000005</v>
      </c>
      <c r="BI47" s="103">
        <v>80</v>
      </c>
      <c r="BJ47" s="104">
        <f t="shared" si="43"/>
        <v>17.2</v>
      </c>
      <c r="BK47" s="95">
        <v>68</v>
      </c>
      <c r="BL47" s="105">
        <f t="shared" si="44"/>
        <v>80.599999999999994</v>
      </c>
      <c r="BM47" s="106">
        <f t="shared" si="35"/>
        <v>32.24</v>
      </c>
      <c r="BN47" s="75">
        <f t="shared" si="36"/>
        <v>79.169375000000002</v>
      </c>
      <c r="BO47" s="107">
        <f t="shared" si="37"/>
        <v>39.584687500000001</v>
      </c>
      <c r="BP47" s="108">
        <f t="shared" si="38"/>
        <v>79.003437500000004</v>
      </c>
      <c r="BQ47" s="109">
        <f t="shared" si="3"/>
        <v>2.6000000000000099</v>
      </c>
      <c r="BR47" s="79" t="str">
        <f t="shared" si="39"/>
        <v>PASSED</v>
      </c>
    </row>
    <row r="48" spans="1:71" ht="15" customHeight="1" x14ac:dyDescent="0.3">
      <c r="A48" s="80">
        <v>34</v>
      </c>
      <c r="B48" s="81" t="s">
        <v>46</v>
      </c>
      <c r="C48" s="82">
        <v>29.4</v>
      </c>
      <c r="D48" s="83">
        <f t="shared" si="4"/>
        <v>94.1</v>
      </c>
      <c r="E48" s="84">
        <v>16</v>
      </c>
      <c r="F48" s="83">
        <f t="shared" si="5"/>
        <v>74</v>
      </c>
      <c r="G48" s="40">
        <f t="shared" si="6"/>
        <v>84.05</v>
      </c>
      <c r="H48" s="41">
        <f t="shared" si="7"/>
        <v>21.012499999999999</v>
      </c>
      <c r="I48" s="85">
        <v>10</v>
      </c>
      <c r="J48" s="86">
        <f t="shared" si="8"/>
        <v>95</v>
      </c>
      <c r="K48" s="87">
        <v>10</v>
      </c>
      <c r="L48" s="86">
        <f t="shared" si="9"/>
        <v>95</v>
      </c>
      <c r="M48" s="87">
        <v>10</v>
      </c>
      <c r="N48" s="86">
        <f t="shared" si="10"/>
        <v>95</v>
      </c>
      <c r="O48" s="88">
        <v>100</v>
      </c>
      <c r="P48" s="86">
        <f t="shared" si="11"/>
        <v>95</v>
      </c>
      <c r="Q48" s="89">
        <f t="shared" si="12"/>
        <v>95</v>
      </c>
      <c r="R48" s="90">
        <f t="shared" si="13"/>
        <v>4.75</v>
      </c>
      <c r="S48" s="91">
        <v>10</v>
      </c>
      <c r="T48" s="48">
        <f t="shared" si="14"/>
        <v>95</v>
      </c>
      <c r="U48" s="49">
        <v>10</v>
      </c>
      <c r="V48" s="48">
        <f t="shared" si="15"/>
        <v>95</v>
      </c>
      <c r="W48" s="49">
        <v>29</v>
      </c>
      <c r="X48" s="48">
        <f t="shared" si="16"/>
        <v>93.5</v>
      </c>
      <c r="Y48" s="50">
        <f t="shared" si="17"/>
        <v>94.5</v>
      </c>
      <c r="Z48" s="92">
        <f t="shared" si="18"/>
        <v>9.4500000000000011</v>
      </c>
      <c r="AA48" s="93">
        <v>70</v>
      </c>
      <c r="AB48" s="94">
        <f t="shared" si="40"/>
        <v>16.3</v>
      </c>
      <c r="AC48" s="95">
        <v>66</v>
      </c>
      <c r="AD48" s="55">
        <f t="shared" si="41"/>
        <v>79.7</v>
      </c>
      <c r="AE48" s="56">
        <f t="shared" si="19"/>
        <v>31.880000000000003</v>
      </c>
      <c r="AF48" s="57">
        <f t="shared" si="0"/>
        <v>83.392500000000013</v>
      </c>
      <c r="AG48" s="58">
        <f t="shared" si="20"/>
        <v>41.696250000000006</v>
      </c>
      <c r="AH48" s="59">
        <f t="shared" si="1"/>
        <v>2.1700000000000199</v>
      </c>
      <c r="AI48" s="80">
        <v>34</v>
      </c>
      <c r="AJ48" s="81" t="str">
        <f t="shared" si="2"/>
        <v>DELA CRUZ, JUAN P.</v>
      </c>
      <c r="AK48" s="96">
        <v>30</v>
      </c>
      <c r="AL48" s="83">
        <f t="shared" si="21"/>
        <v>95</v>
      </c>
      <c r="AM48" s="84">
        <v>20</v>
      </c>
      <c r="AN48" s="83">
        <f t="shared" si="22"/>
        <v>80</v>
      </c>
      <c r="AO48" s="97">
        <f t="shared" si="23"/>
        <v>87.5</v>
      </c>
      <c r="AP48" s="98">
        <f t="shared" si="24"/>
        <v>21.875</v>
      </c>
      <c r="AQ48" s="85">
        <v>15</v>
      </c>
      <c r="AR48" s="86">
        <f t="shared" si="42"/>
        <v>83.75</v>
      </c>
      <c r="AS48" s="99">
        <v>10</v>
      </c>
      <c r="AT48" s="100">
        <f t="shared" si="25"/>
        <v>95</v>
      </c>
      <c r="AU48" s="99">
        <v>10</v>
      </c>
      <c r="AV48" s="100">
        <f t="shared" si="26"/>
        <v>95</v>
      </c>
      <c r="AW48" s="88">
        <v>100</v>
      </c>
      <c r="AX48" s="101">
        <f t="shared" si="27"/>
        <v>95</v>
      </c>
      <c r="AY48" s="89">
        <f t="shared" si="28"/>
        <v>92.1875</v>
      </c>
      <c r="AZ48" s="90">
        <f t="shared" si="29"/>
        <v>4.609375</v>
      </c>
      <c r="BA48" s="102">
        <v>10</v>
      </c>
      <c r="BB48" s="48">
        <f t="shared" si="30"/>
        <v>95</v>
      </c>
      <c r="BC48" s="49">
        <v>10</v>
      </c>
      <c r="BD48" s="48">
        <f t="shared" si="31"/>
        <v>95</v>
      </c>
      <c r="BE48" s="49">
        <v>10</v>
      </c>
      <c r="BF48" s="48">
        <f t="shared" si="32"/>
        <v>95</v>
      </c>
      <c r="BG48" s="50">
        <f t="shared" si="33"/>
        <v>95</v>
      </c>
      <c r="BH48" s="69">
        <f t="shared" si="34"/>
        <v>9.5</v>
      </c>
      <c r="BI48" s="103">
        <v>85</v>
      </c>
      <c r="BJ48" s="104">
        <f t="shared" si="43"/>
        <v>17.650000000000002</v>
      </c>
      <c r="BK48" s="95">
        <v>74</v>
      </c>
      <c r="BL48" s="105">
        <f t="shared" si="44"/>
        <v>83.3</v>
      </c>
      <c r="BM48" s="106">
        <f t="shared" si="35"/>
        <v>33.32</v>
      </c>
      <c r="BN48" s="75">
        <f t="shared" si="36"/>
        <v>86.954374999999999</v>
      </c>
      <c r="BO48" s="107">
        <f t="shared" si="37"/>
        <v>43.477187499999999</v>
      </c>
      <c r="BP48" s="108">
        <f t="shared" si="38"/>
        <v>85.173437500000006</v>
      </c>
      <c r="BQ48" s="109">
        <f t="shared" si="3"/>
        <v>1.99000000000002</v>
      </c>
      <c r="BR48" s="79" t="str">
        <f t="shared" si="39"/>
        <v>PASSED</v>
      </c>
    </row>
    <row r="49" spans="1:77" ht="15" customHeight="1" x14ac:dyDescent="0.3">
      <c r="A49" s="80">
        <v>35</v>
      </c>
      <c r="B49" s="81" t="s">
        <v>46</v>
      </c>
      <c r="C49" s="82">
        <v>12</v>
      </c>
      <c r="D49" s="83">
        <f t="shared" si="4"/>
        <v>68</v>
      </c>
      <c r="E49" s="84">
        <v>12</v>
      </c>
      <c r="F49" s="83">
        <f t="shared" si="5"/>
        <v>68</v>
      </c>
      <c r="G49" s="40">
        <f t="shared" si="6"/>
        <v>68</v>
      </c>
      <c r="H49" s="41">
        <f t="shared" si="7"/>
        <v>17</v>
      </c>
      <c r="I49" s="85">
        <v>7</v>
      </c>
      <c r="J49" s="86">
        <f t="shared" si="8"/>
        <v>81.5</v>
      </c>
      <c r="K49" s="87">
        <v>10</v>
      </c>
      <c r="L49" s="86">
        <f t="shared" si="9"/>
        <v>95</v>
      </c>
      <c r="M49" s="87">
        <v>0</v>
      </c>
      <c r="N49" s="86">
        <f t="shared" si="10"/>
        <v>50</v>
      </c>
      <c r="O49" s="88">
        <v>95</v>
      </c>
      <c r="P49" s="86">
        <f t="shared" si="11"/>
        <v>92.75</v>
      </c>
      <c r="Q49" s="89">
        <f t="shared" si="12"/>
        <v>79.8125</v>
      </c>
      <c r="R49" s="90">
        <f t="shared" si="13"/>
        <v>3.9906250000000001</v>
      </c>
      <c r="S49" s="91">
        <v>10</v>
      </c>
      <c r="T49" s="48">
        <f t="shared" si="14"/>
        <v>95</v>
      </c>
      <c r="U49" s="49">
        <v>10</v>
      </c>
      <c r="V49" s="48">
        <f t="shared" si="15"/>
        <v>95</v>
      </c>
      <c r="W49" s="49">
        <v>0</v>
      </c>
      <c r="X49" s="48">
        <f t="shared" si="16"/>
        <v>50</v>
      </c>
      <c r="Y49" s="50">
        <f t="shared" si="17"/>
        <v>80</v>
      </c>
      <c r="Z49" s="92">
        <f t="shared" si="18"/>
        <v>8</v>
      </c>
      <c r="AA49" s="93">
        <v>70</v>
      </c>
      <c r="AB49" s="94">
        <f t="shared" si="40"/>
        <v>16.3</v>
      </c>
      <c r="AC49" s="95">
        <v>64</v>
      </c>
      <c r="AD49" s="55">
        <f t="shared" si="41"/>
        <v>78.8</v>
      </c>
      <c r="AE49" s="56">
        <f t="shared" si="19"/>
        <v>31.52</v>
      </c>
      <c r="AF49" s="57">
        <f t="shared" si="0"/>
        <v>76.810625000000002</v>
      </c>
      <c r="AG49" s="58">
        <f t="shared" si="20"/>
        <v>38.405312500000001</v>
      </c>
      <c r="AH49" s="59">
        <f t="shared" si="1"/>
        <v>2.82</v>
      </c>
      <c r="AI49" s="80">
        <v>35</v>
      </c>
      <c r="AJ49" s="81" t="str">
        <f t="shared" si="2"/>
        <v>DELA CRUZ, JUAN P.</v>
      </c>
      <c r="AK49" s="96">
        <v>30</v>
      </c>
      <c r="AL49" s="83">
        <f t="shared" si="21"/>
        <v>95</v>
      </c>
      <c r="AM49" s="84">
        <v>17</v>
      </c>
      <c r="AN49" s="83">
        <f t="shared" si="22"/>
        <v>75.5</v>
      </c>
      <c r="AO49" s="97">
        <f t="shared" si="23"/>
        <v>85.25</v>
      </c>
      <c r="AP49" s="98">
        <f t="shared" si="24"/>
        <v>21.3125</v>
      </c>
      <c r="AQ49" s="85">
        <v>8</v>
      </c>
      <c r="AR49" s="86">
        <f t="shared" si="42"/>
        <v>68</v>
      </c>
      <c r="AS49" s="99">
        <v>10</v>
      </c>
      <c r="AT49" s="100">
        <f t="shared" si="25"/>
        <v>95</v>
      </c>
      <c r="AU49" s="99">
        <v>10</v>
      </c>
      <c r="AV49" s="100">
        <f t="shared" si="26"/>
        <v>95</v>
      </c>
      <c r="AW49" s="88">
        <v>100</v>
      </c>
      <c r="AX49" s="101">
        <f t="shared" si="27"/>
        <v>95</v>
      </c>
      <c r="AY49" s="89">
        <f t="shared" si="28"/>
        <v>88.25</v>
      </c>
      <c r="AZ49" s="90">
        <f t="shared" si="29"/>
        <v>4.4125000000000005</v>
      </c>
      <c r="BA49" s="102">
        <v>10</v>
      </c>
      <c r="BB49" s="48">
        <f t="shared" si="30"/>
        <v>95</v>
      </c>
      <c r="BC49" s="49">
        <v>10</v>
      </c>
      <c r="BD49" s="48">
        <f t="shared" si="31"/>
        <v>95</v>
      </c>
      <c r="BE49" s="49">
        <v>10</v>
      </c>
      <c r="BF49" s="48">
        <f t="shared" si="32"/>
        <v>95</v>
      </c>
      <c r="BG49" s="50">
        <f t="shared" si="33"/>
        <v>95</v>
      </c>
      <c r="BH49" s="69">
        <f t="shared" si="34"/>
        <v>9.5</v>
      </c>
      <c r="BI49" s="103">
        <v>85</v>
      </c>
      <c r="BJ49" s="104">
        <f t="shared" si="43"/>
        <v>17.650000000000002</v>
      </c>
      <c r="BK49" s="95">
        <v>40</v>
      </c>
      <c r="BL49" s="105">
        <f t="shared" si="44"/>
        <v>68</v>
      </c>
      <c r="BM49" s="106">
        <f t="shared" si="35"/>
        <v>27.200000000000003</v>
      </c>
      <c r="BN49" s="75">
        <f t="shared" si="36"/>
        <v>80.075000000000003</v>
      </c>
      <c r="BO49" s="107">
        <f t="shared" si="37"/>
        <v>40.037500000000001</v>
      </c>
      <c r="BP49" s="108">
        <f t="shared" si="38"/>
        <v>78.442812500000002</v>
      </c>
      <c r="BQ49" s="109">
        <f t="shared" si="3"/>
        <v>2.6600000000000099</v>
      </c>
      <c r="BR49" s="79" t="str">
        <f t="shared" si="39"/>
        <v>PASSED</v>
      </c>
    </row>
    <row r="50" spans="1:77" ht="15" customHeight="1" x14ac:dyDescent="0.3">
      <c r="A50" s="80">
        <v>36</v>
      </c>
      <c r="B50" s="81" t="s">
        <v>46</v>
      </c>
      <c r="C50" s="82">
        <v>13.799999999999999</v>
      </c>
      <c r="D50" s="83">
        <f t="shared" si="4"/>
        <v>70.7</v>
      </c>
      <c r="E50" s="84">
        <v>11</v>
      </c>
      <c r="F50" s="83">
        <f t="shared" si="5"/>
        <v>66.5</v>
      </c>
      <c r="G50" s="40">
        <f t="shared" si="6"/>
        <v>68.599999999999994</v>
      </c>
      <c r="H50" s="41">
        <f t="shared" si="7"/>
        <v>17.149999999999999</v>
      </c>
      <c r="I50" s="85">
        <v>3</v>
      </c>
      <c r="J50" s="86">
        <f t="shared" si="8"/>
        <v>63.5</v>
      </c>
      <c r="K50" s="87">
        <v>10</v>
      </c>
      <c r="L50" s="86">
        <f t="shared" si="9"/>
        <v>95</v>
      </c>
      <c r="M50" s="87">
        <v>10</v>
      </c>
      <c r="N50" s="86">
        <f t="shared" si="10"/>
        <v>95</v>
      </c>
      <c r="O50" s="88">
        <v>95</v>
      </c>
      <c r="P50" s="86">
        <f t="shared" si="11"/>
        <v>92.75</v>
      </c>
      <c r="Q50" s="89">
        <f t="shared" si="12"/>
        <v>86.5625</v>
      </c>
      <c r="R50" s="90">
        <f t="shared" si="13"/>
        <v>4.328125</v>
      </c>
      <c r="S50" s="91">
        <v>6</v>
      </c>
      <c r="T50" s="48">
        <f t="shared" si="14"/>
        <v>77</v>
      </c>
      <c r="U50" s="49">
        <v>0</v>
      </c>
      <c r="V50" s="48">
        <f t="shared" si="15"/>
        <v>50</v>
      </c>
      <c r="W50" s="49">
        <v>17</v>
      </c>
      <c r="X50" s="48">
        <f t="shared" si="16"/>
        <v>75.5</v>
      </c>
      <c r="Y50" s="50">
        <f t="shared" si="17"/>
        <v>67.5</v>
      </c>
      <c r="Z50" s="92">
        <f t="shared" si="18"/>
        <v>6.75</v>
      </c>
      <c r="AA50" s="93">
        <v>70</v>
      </c>
      <c r="AB50" s="94">
        <f t="shared" si="40"/>
        <v>16.3</v>
      </c>
      <c r="AC50" s="95">
        <v>58</v>
      </c>
      <c r="AD50" s="55">
        <f t="shared" si="41"/>
        <v>76.099999999999994</v>
      </c>
      <c r="AE50" s="56">
        <f t="shared" si="19"/>
        <v>30.439999999999998</v>
      </c>
      <c r="AF50" s="57">
        <f t="shared" si="0"/>
        <v>74.968125000000001</v>
      </c>
      <c r="AG50" s="58">
        <f t="shared" si="20"/>
        <v>37.4840625</v>
      </c>
      <c r="AH50" s="59">
        <f t="shared" si="1"/>
        <v>3.01</v>
      </c>
      <c r="AI50" s="80">
        <v>36</v>
      </c>
      <c r="AJ50" s="81" t="str">
        <f t="shared" si="2"/>
        <v>DELA CRUZ, JUAN P.</v>
      </c>
      <c r="AK50" s="96">
        <v>30</v>
      </c>
      <c r="AL50" s="83">
        <f t="shared" si="21"/>
        <v>95</v>
      </c>
      <c r="AM50" s="84">
        <v>25</v>
      </c>
      <c r="AN50" s="83">
        <f t="shared" si="22"/>
        <v>87.5</v>
      </c>
      <c r="AO50" s="97">
        <f t="shared" si="23"/>
        <v>91.25</v>
      </c>
      <c r="AP50" s="98">
        <f t="shared" si="24"/>
        <v>22.8125</v>
      </c>
      <c r="AQ50" s="85">
        <v>6</v>
      </c>
      <c r="AR50" s="86">
        <f t="shared" si="42"/>
        <v>63.5</v>
      </c>
      <c r="AS50" s="99">
        <v>10</v>
      </c>
      <c r="AT50" s="100">
        <f t="shared" si="25"/>
        <v>95</v>
      </c>
      <c r="AU50" s="99">
        <v>10</v>
      </c>
      <c r="AV50" s="100">
        <f t="shared" si="26"/>
        <v>95</v>
      </c>
      <c r="AW50" s="88">
        <v>95</v>
      </c>
      <c r="AX50" s="101">
        <f t="shared" si="27"/>
        <v>92.75</v>
      </c>
      <c r="AY50" s="89">
        <f t="shared" si="28"/>
        <v>86.5625</v>
      </c>
      <c r="AZ50" s="90">
        <f t="shared" si="29"/>
        <v>4.328125</v>
      </c>
      <c r="BA50" s="102">
        <v>10</v>
      </c>
      <c r="BB50" s="48">
        <f t="shared" si="30"/>
        <v>95</v>
      </c>
      <c r="BC50" s="49">
        <v>10</v>
      </c>
      <c r="BD50" s="48">
        <f t="shared" si="31"/>
        <v>95</v>
      </c>
      <c r="BE50" s="49">
        <v>10</v>
      </c>
      <c r="BF50" s="48">
        <f t="shared" si="32"/>
        <v>95</v>
      </c>
      <c r="BG50" s="50">
        <f t="shared" si="33"/>
        <v>95</v>
      </c>
      <c r="BH50" s="69">
        <f t="shared" si="34"/>
        <v>9.5</v>
      </c>
      <c r="BI50" s="103">
        <v>90</v>
      </c>
      <c r="BJ50" s="104">
        <f t="shared" si="43"/>
        <v>18.100000000000001</v>
      </c>
      <c r="BK50" s="95">
        <v>76</v>
      </c>
      <c r="BL50" s="105">
        <f t="shared" si="44"/>
        <v>84.2</v>
      </c>
      <c r="BM50" s="106">
        <f t="shared" si="35"/>
        <v>33.68</v>
      </c>
      <c r="BN50" s="75">
        <f t="shared" si="36"/>
        <v>88.420625000000001</v>
      </c>
      <c r="BO50" s="107">
        <f t="shared" si="37"/>
        <v>44.210312500000001</v>
      </c>
      <c r="BP50" s="108">
        <f t="shared" si="38"/>
        <v>81.694375000000008</v>
      </c>
      <c r="BQ50" s="109">
        <f t="shared" si="3"/>
        <v>2.3400000000000101</v>
      </c>
      <c r="BR50" s="79" t="str">
        <f t="shared" si="39"/>
        <v>PASSED</v>
      </c>
    </row>
    <row r="51" spans="1:77" ht="15" customHeight="1" x14ac:dyDescent="0.3">
      <c r="A51" s="80">
        <v>37</v>
      </c>
      <c r="B51" s="81" t="s">
        <v>46</v>
      </c>
      <c r="C51" s="82">
        <v>22.2</v>
      </c>
      <c r="D51" s="83">
        <f t="shared" si="4"/>
        <v>83.3</v>
      </c>
      <c r="E51" s="84">
        <v>24</v>
      </c>
      <c r="F51" s="83">
        <f t="shared" si="5"/>
        <v>86</v>
      </c>
      <c r="G51" s="40">
        <f t="shared" si="6"/>
        <v>84.65</v>
      </c>
      <c r="H51" s="41">
        <f t="shared" si="7"/>
        <v>21.162500000000001</v>
      </c>
      <c r="I51" s="85">
        <v>9</v>
      </c>
      <c r="J51" s="86">
        <f t="shared" si="8"/>
        <v>90.5</v>
      </c>
      <c r="K51" s="87">
        <v>10</v>
      </c>
      <c r="L51" s="86">
        <f t="shared" si="9"/>
        <v>95</v>
      </c>
      <c r="M51" s="87">
        <v>10</v>
      </c>
      <c r="N51" s="86">
        <f t="shared" si="10"/>
        <v>95</v>
      </c>
      <c r="O51" s="88">
        <v>100</v>
      </c>
      <c r="P51" s="86">
        <f t="shared" si="11"/>
        <v>95</v>
      </c>
      <c r="Q51" s="89">
        <f t="shared" si="12"/>
        <v>93.875</v>
      </c>
      <c r="R51" s="90">
        <f t="shared" si="13"/>
        <v>4.6937500000000005</v>
      </c>
      <c r="S51" s="91">
        <v>10</v>
      </c>
      <c r="T51" s="48">
        <f t="shared" si="14"/>
        <v>95</v>
      </c>
      <c r="U51" s="49">
        <v>10</v>
      </c>
      <c r="V51" s="48">
        <f t="shared" si="15"/>
        <v>95</v>
      </c>
      <c r="W51" s="49">
        <v>17</v>
      </c>
      <c r="X51" s="48">
        <f t="shared" si="16"/>
        <v>75.5</v>
      </c>
      <c r="Y51" s="50">
        <f t="shared" si="17"/>
        <v>88.5</v>
      </c>
      <c r="Z51" s="92">
        <f t="shared" si="18"/>
        <v>8.85</v>
      </c>
      <c r="AA51" s="93">
        <v>95</v>
      </c>
      <c r="AB51" s="94">
        <f t="shared" si="40"/>
        <v>18.55</v>
      </c>
      <c r="AC51" s="95">
        <v>72</v>
      </c>
      <c r="AD51" s="55">
        <f t="shared" si="41"/>
        <v>82.4</v>
      </c>
      <c r="AE51" s="56">
        <f t="shared" si="19"/>
        <v>32.96</v>
      </c>
      <c r="AF51" s="57">
        <f t="shared" si="0"/>
        <v>86.216250000000002</v>
      </c>
      <c r="AG51" s="58">
        <f t="shared" si="20"/>
        <v>43.108125000000001</v>
      </c>
      <c r="AH51" s="59">
        <f t="shared" si="1"/>
        <v>1.8800000000000201</v>
      </c>
      <c r="AI51" s="80">
        <v>37</v>
      </c>
      <c r="AJ51" s="81" t="str">
        <f t="shared" si="2"/>
        <v>DELA CRUZ, JUAN P.</v>
      </c>
      <c r="AK51" s="96">
        <v>30</v>
      </c>
      <c r="AL51" s="83">
        <f t="shared" si="21"/>
        <v>95</v>
      </c>
      <c r="AM51" s="84">
        <v>24</v>
      </c>
      <c r="AN51" s="83">
        <f t="shared" si="22"/>
        <v>86</v>
      </c>
      <c r="AO51" s="97">
        <f t="shared" si="23"/>
        <v>90.5</v>
      </c>
      <c r="AP51" s="98">
        <f t="shared" si="24"/>
        <v>22.625</v>
      </c>
      <c r="AQ51" s="85">
        <v>8</v>
      </c>
      <c r="AR51" s="86">
        <f t="shared" si="42"/>
        <v>68</v>
      </c>
      <c r="AS51" s="99">
        <v>10</v>
      </c>
      <c r="AT51" s="100">
        <f t="shared" si="25"/>
        <v>95</v>
      </c>
      <c r="AU51" s="99">
        <v>10</v>
      </c>
      <c r="AV51" s="100">
        <f t="shared" si="26"/>
        <v>95</v>
      </c>
      <c r="AW51" s="88">
        <v>100</v>
      </c>
      <c r="AX51" s="101">
        <f t="shared" si="27"/>
        <v>95</v>
      </c>
      <c r="AY51" s="89">
        <f t="shared" si="28"/>
        <v>88.25</v>
      </c>
      <c r="AZ51" s="90">
        <f t="shared" si="29"/>
        <v>4.4125000000000005</v>
      </c>
      <c r="BA51" s="102">
        <v>10</v>
      </c>
      <c r="BB51" s="48">
        <f t="shared" si="30"/>
        <v>95</v>
      </c>
      <c r="BC51" s="49">
        <v>10</v>
      </c>
      <c r="BD51" s="48">
        <f t="shared" si="31"/>
        <v>95</v>
      </c>
      <c r="BE51" s="49">
        <v>10</v>
      </c>
      <c r="BF51" s="48">
        <f t="shared" si="32"/>
        <v>95</v>
      </c>
      <c r="BG51" s="50">
        <f t="shared" si="33"/>
        <v>95</v>
      </c>
      <c r="BH51" s="69">
        <f t="shared" si="34"/>
        <v>9.5</v>
      </c>
      <c r="BI51" s="103">
        <v>85</v>
      </c>
      <c r="BJ51" s="104">
        <f t="shared" si="43"/>
        <v>17.650000000000002</v>
      </c>
      <c r="BK51" s="95">
        <v>70</v>
      </c>
      <c r="BL51" s="105">
        <f t="shared" si="44"/>
        <v>81.5</v>
      </c>
      <c r="BM51" s="106">
        <f t="shared" si="35"/>
        <v>32.6</v>
      </c>
      <c r="BN51" s="75">
        <f t="shared" si="36"/>
        <v>86.787499999999994</v>
      </c>
      <c r="BO51" s="107">
        <f t="shared" si="37"/>
        <v>43.393749999999997</v>
      </c>
      <c r="BP51" s="108">
        <f t="shared" si="38"/>
        <v>86.501874999999998</v>
      </c>
      <c r="BQ51" s="109">
        <f t="shared" si="3"/>
        <v>1.8500000000000201</v>
      </c>
      <c r="BR51" s="79" t="str">
        <f t="shared" si="39"/>
        <v>PASSED</v>
      </c>
    </row>
    <row r="52" spans="1:77" ht="15" customHeight="1" x14ac:dyDescent="0.3">
      <c r="A52" s="80">
        <v>38</v>
      </c>
      <c r="B52" s="81" t="s">
        <v>46</v>
      </c>
      <c r="C52" s="82">
        <v>25.2</v>
      </c>
      <c r="D52" s="83">
        <f t="shared" si="4"/>
        <v>87.8</v>
      </c>
      <c r="E52" s="84">
        <v>16</v>
      </c>
      <c r="F52" s="83">
        <f t="shared" si="5"/>
        <v>74</v>
      </c>
      <c r="G52" s="40">
        <f t="shared" si="6"/>
        <v>80.900000000000006</v>
      </c>
      <c r="H52" s="41">
        <f t="shared" si="7"/>
        <v>20.225000000000001</v>
      </c>
      <c r="I52" s="85">
        <v>4</v>
      </c>
      <c r="J52" s="86">
        <f t="shared" si="8"/>
        <v>68</v>
      </c>
      <c r="K52" s="87">
        <v>10</v>
      </c>
      <c r="L52" s="86">
        <f t="shared" si="9"/>
        <v>95</v>
      </c>
      <c r="M52" s="87">
        <v>10</v>
      </c>
      <c r="N52" s="86">
        <f t="shared" si="10"/>
        <v>95</v>
      </c>
      <c r="O52" s="88">
        <v>100</v>
      </c>
      <c r="P52" s="86">
        <f t="shared" si="11"/>
        <v>95</v>
      </c>
      <c r="Q52" s="89">
        <f t="shared" si="12"/>
        <v>88.25</v>
      </c>
      <c r="R52" s="90">
        <f t="shared" si="13"/>
        <v>4.4125000000000005</v>
      </c>
      <c r="S52" s="91">
        <v>10</v>
      </c>
      <c r="T52" s="48">
        <f t="shared" si="14"/>
        <v>95</v>
      </c>
      <c r="U52" s="49">
        <v>10</v>
      </c>
      <c r="V52" s="48">
        <f t="shared" si="15"/>
        <v>95</v>
      </c>
      <c r="W52" s="49">
        <v>22</v>
      </c>
      <c r="X52" s="48">
        <f t="shared" si="16"/>
        <v>83</v>
      </c>
      <c r="Y52" s="50">
        <f t="shared" si="17"/>
        <v>91</v>
      </c>
      <c r="Z52" s="92">
        <f t="shared" si="18"/>
        <v>9.1</v>
      </c>
      <c r="AA52" s="93">
        <v>60</v>
      </c>
      <c r="AB52" s="94">
        <f t="shared" si="40"/>
        <v>15.4</v>
      </c>
      <c r="AC52" s="95">
        <v>66</v>
      </c>
      <c r="AD52" s="55">
        <f t="shared" si="41"/>
        <v>79.7</v>
      </c>
      <c r="AE52" s="56">
        <f t="shared" si="19"/>
        <v>31.880000000000003</v>
      </c>
      <c r="AF52" s="57">
        <f t="shared" si="0"/>
        <v>81.017500000000013</v>
      </c>
      <c r="AG52" s="58">
        <f t="shared" si="20"/>
        <v>40.508750000000006</v>
      </c>
      <c r="AH52" s="59">
        <f t="shared" si="1"/>
        <v>2.4000000000000101</v>
      </c>
      <c r="AI52" s="80">
        <v>38</v>
      </c>
      <c r="AJ52" s="81" t="str">
        <f t="shared" si="2"/>
        <v>DELA CRUZ, JUAN P.</v>
      </c>
      <c r="AK52" s="96">
        <v>30</v>
      </c>
      <c r="AL52" s="83">
        <f t="shared" si="21"/>
        <v>95</v>
      </c>
      <c r="AM52" s="84">
        <v>25</v>
      </c>
      <c r="AN52" s="83">
        <f t="shared" si="22"/>
        <v>87.5</v>
      </c>
      <c r="AO52" s="97">
        <f t="shared" si="23"/>
        <v>91.25</v>
      </c>
      <c r="AP52" s="98">
        <f t="shared" si="24"/>
        <v>22.8125</v>
      </c>
      <c r="AQ52" s="85">
        <v>12</v>
      </c>
      <c r="AR52" s="86">
        <f t="shared" si="42"/>
        <v>77</v>
      </c>
      <c r="AS52" s="99">
        <v>10</v>
      </c>
      <c r="AT52" s="100">
        <f t="shared" si="25"/>
        <v>95</v>
      </c>
      <c r="AU52" s="99">
        <v>10</v>
      </c>
      <c r="AV52" s="100">
        <f t="shared" si="26"/>
        <v>95</v>
      </c>
      <c r="AW52" s="88">
        <v>100</v>
      </c>
      <c r="AX52" s="101">
        <f t="shared" si="27"/>
        <v>95</v>
      </c>
      <c r="AY52" s="89">
        <f t="shared" si="28"/>
        <v>90.5</v>
      </c>
      <c r="AZ52" s="90">
        <f t="shared" si="29"/>
        <v>4.5250000000000004</v>
      </c>
      <c r="BA52" s="102">
        <v>10</v>
      </c>
      <c r="BB52" s="48">
        <f t="shared" si="30"/>
        <v>95</v>
      </c>
      <c r="BC52" s="49">
        <v>10</v>
      </c>
      <c r="BD52" s="48">
        <f t="shared" si="31"/>
        <v>95</v>
      </c>
      <c r="BE52" s="49">
        <v>10</v>
      </c>
      <c r="BF52" s="48">
        <f t="shared" si="32"/>
        <v>95</v>
      </c>
      <c r="BG52" s="50">
        <f t="shared" si="33"/>
        <v>95</v>
      </c>
      <c r="BH52" s="69">
        <f t="shared" si="34"/>
        <v>9.5</v>
      </c>
      <c r="BI52" s="103">
        <v>90</v>
      </c>
      <c r="BJ52" s="104">
        <f t="shared" si="43"/>
        <v>18.100000000000001</v>
      </c>
      <c r="BK52" s="95">
        <v>70</v>
      </c>
      <c r="BL52" s="105">
        <f t="shared" si="44"/>
        <v>81.5</v>
      </c>
      <c r="BM52" s="106">
        <f t="shared" si="35"/>
        <v>32.6</v>
      </c>
      <c r="BN52" s="75">
        <f t="shared" si="36"/>
        <v>87.537499999999994</v>
      </c>
      <c r="BO52" s="107">
        <f t="shared" si="37"/>
        <v>43.768749999999997</v>
      </c>
      <c r="BP52" s="108">
        <f t="shared" si="38"/>
        <v>84.277500000000003</v>
      </c>
      <c r="BQ52" s="109">
        <f t="shared" si="3"/>
        <v>2.0800000000000201</v>
      </c>
      <c r="BR52" s="79" t="str">
        <f t="shared" si="39"/>
        <v>PASSED</v>
      </c>
    </row>
    <row r="53" spans="1:77" ht="15" customHeight="1" x14ac:dyDescent="0.3">
      <c r="A53" s="80">
        <v>39</v>
      </c>
      <c r="B53" s="81" t="s">
        <v>46</v>
      </c>
      <c r="C53" s="82">
        <v>29.4</v>
      </c>
      <c r="D53" s="83">
        <f t="shared" si="4"/>
        <v>94.1</v>
      </c>
      <c r="E53" s="84">
        <v>21</v>
      </c>
      <c r="F53" s="83">
        <f t="shared" si="5"/>
        <v>81.5</v>
      </c>
      <c r="G53" s="40">
        <f t="shared" si="6"/>
        <v>87.8</v>
      </c>
      <c r="H53" s="41">
        <f t="shared" si="7"/>
        <v>21.95</v>
      </c>
      <c r="I53" s="85">
        <v>6</v>
      </c>
      <c r="J53" s="86">
        <f t="shared" si="8"/>
        <v>77</v>
      </c>
      <c r="K53" s="87">
        <v>10</v>
      </c>
      <c r="L53" s="86">
        <f t="shared" si="9"/>
        <v>95</v>
      </c>
      <c r="M53" s="87">
        <v>10</v>
      </c>
      <c r="N53" s="86">
        <f t="shared" si="10"/>
        <v>95</v>
      </c>
      <c r="O53" s="88">
        <v>100</v>
      </c>
      <c r="P53" s="86">
        <f t="shared" si="11"/>
        <v>95</v>
      </c>
      <c r="Q53" s="89">
        <f t="shared" si="12"/>
        <v>90.5</v>
      </c>
      <c r="R53" s="90">
        <f t="shared" si="13"/>
        <v>4.5250000000000004</v>
      </c>
      <c r="S53" s="91">
        <v>10</v>
      </c>
      <c r="T53" s="48">
        <f t="shared" si="14"/>
        <v>95</v>
      </c>
      <c r="U53" s="49">
        <v>10</v>
      </c>
      <c r="V53" s="48">
        <f t="shared" si="15"/>
        <v>95</v>
      </c>
      <c r="W53" s="49">
        <v>29</v>
      </c>
      <c r="X53" s="48">
        <f t="shared" si="16"/>
        <v>93.5</v>
      </c>
      <c r="Y53" s="50">
        <f t="shared" si="17"/>
        <v>94.5</v>
      </c>
      <c r="Z53" s="92">
        <f t="shared" si="18"/>
        <v>9.4500000000000011</v>
      </c>
      <c r="AA53" s="93">
        <v>80</v>
      </c>
      <c r="AB53" s="94">
        <f t="shared" si="40"/>
        <v>17.2</v>
      </c>
      <c r="AC53" s="95">
        <v>76</v>
      </c>
      <c r="AD53" s="55">
        <f t="shared" si="41"/>
        <v>84.2</v>
      </c>
      <c r="AE53" s="56">
        <f t="shared" si="19"/>
        <v>33.68</v>
      </c>
      <c r="AF53" s="57">
        <f t="shared" si="0"/>
        <v>86.805000000000007</v>
      </c>
      <c r="AG53" s="58">
        <f t="shared" si="20"/>
        <v>43.402500000000003</v>
      </c>
      <c r="AH53" s="59">
        <f t="shared" si="1"/>
        <v>1.82000000000002</v>
      </c>
      <c r="AI53" s="80">
        <v>39</v>
      </c>
      <c r="AJ53" s="81" t="str">
        <f t="shared" si="2"/>
        <v>DELA CRUZ, JUAN P.</v>
      </c>
      <c r="AK53" s="96">
        <v>30</v>
      </c>
      <c r="AL53" s="83">
        <f t="shared" si="21"/>
        <v>95</v>
      </c>
      <c r="AM53" s="84">
        <v>26</v>
      </c>
      <c r="AN53" s="83">
        <f t="shared" si="22"/>
        <v>89</v>
      </c>
      <c r="AO53" s="97">
        <f t="shared" si="23"/>
        <v>92</v>
      </c>
      <c r="AP53" s="98">
        <f t="shared" si="24"/>
        <v>23</v>
      </c>
      <c r="AQ53" s="85">
        <v>13</v>
      </c>
      <c r="AR53" s="86">
        <f t="shared" si="42"/>
        <v>79.25</v>
      </c>
      <c r="AS53" s="99">
        <v>10</v>
      </c>
      <c r="AT53" s="100">
        <f t="shared" si="25"/>
        <v>95</v>
      </c>
      <c r="AU53" s="99">
        <v>10</v>
      </c>
      <c r="AV53" s="100">
        <f t="shared" si="26"/>
        <v>95</v>
      </c>
      <c r="AW53" s="88">
        <v>100</v>
      </c>
      <c r="AX53" s="101">
        <f t="shared" si="27"/>
        <v>95</v>
      </c>
      <c r="AY53" s="89">
        <f t="shared" si="28"/>
        <v>91.0625</v>
      </c>
      <c r="AZ53" s="90">
        <f t="shared" si="29"/>
        <v>4.5531250000000005</v>
      </c>
      <c r="BA53" s="102">
        <v>10</v>
      </c>
      <c r="BB53" s="48">
        <f t="shared" si="30"/>
        <v>95</v>
      </c>
      <c r="BC53" s="49">
        <v>10</v>
      </c>
      <c r="BD53" s="48">
        <f t="shared" si="31"/>
        <v>95</v>
      </c>
      <c r="BE53" s="49">
        <v>10</v>
      </c>
      <c r="BF53" s="48">
        <f t="shared" si="32"/>
        <v>95</v>
      </c>
      <c r="BG53" s="50">
        <f t="shared" si="33"/>
        <v>95</v>
      </c>
      <c r="BH53" s="69">
        <f t="shared" si="34"/>
        <v>9.5</v>
      </c>
      <c r="BI53" s="103">
        <v>85</v>
      </c>
      <c r="BJ53" s="104">
        <f t="shared" si="43"/>
        <v>17.650000000000002</v>
      </c>
      <c r="BK53" s="95">
        <v>76</v>
      </c>
      <c r="BL53" s="105">
        <f t="shared" si="44"/>
        <v>84.2</v>
      </c>
      <c r="BM53" s="106">
        <f t="shared" si="35"/>
        <v>33.68</v>
      </c>
      <c r="BN53" s="75">
        <f t="shared" si="36"/>
        <v>88.383125000000007</v>
      </c>
      <c r="BO53" s="107">
        <f t="shared" si="37"/>
        <v>44.191562500000003</v>
      </c>
      <c r="BP53" s="108">
        <f t="shared" si="38"/>
        <v>87.594062500000007</v>
      </c>
      <c r="BQ53" s="109">
        <f t="shared" si="3"/>
        <v>1.75000000000003</v>
      </c>
      <c r="BR53" s="79" t="str">
        <f t="shared" si="39"/>
        <v>PASSED</v>
      </c>
    </row>
    <row r="54" spans="1:77" ht="15" customHeight="1" x14ac:dyDescent="0.3">
      <c r="A54" s="80">
        <v>40</v>
      </c>
      <c r="B54" s="81" t="s">
        <v>46</v>
      </c>
      <c r="C54" s="82">
        <v>28.2</v>
      </c>
      <c r="D54" s="83">
        <f t="shared" si="4"/>
        <v>92.3</v>
      </c>
      <c r="E54" s="84">
        <v>21</v>
      </c>
      <c r="F54" s="83">
        <f t="shared" si="5"/>
        <v>81.5</v>
      </c>
      <c r="G54" s="40">
        <f t="shared" si="6"/>
        <v>86.9</v>
      </c>
      <c r="H54" s="41">
        <f t="shared" si="7"/>
        <v>21.725000000000001</v>
      </c>
      <c r="I54" s="85">
        <v>7</v>
      </c>
      <c r="J54" s="86">
        <f t="shared" si="8"/>
        <v>81.5</v>
      </c>
      <c r="K54" s="87">
        <v>10</v>
      </c>
      <c r="L54" s="86">
        <f t="shared" si="9"/>
        <v>95</v>
      </c>
      <c r="M54" s="87">
        <v>10</v>
      </c>
      <c r="N54" s="86">
        <f t="shared" si="10"/>
        <v>95</v>
      </c>
      <c r="O54" s="88">
        <v>100</v>
      </c>
      <c r="P54" s="86">
        <f t="shared" si="11"/>
        <v>95</v>
      </c>
      <c r="Q54" s="89">
        <f t="shared" si="12"/>
        <v>91.625</v>
      </c>
      <c r="R54" s="90">
        <f t="shared" si="13"/>
        <v>4.5812499999999998</v>
      </c>
      <c r="S54" s="91">
        <v>10</v>
      </c>
      <c r="T54" s="48">
        <f t="shared" si="14"/>
        <v>95</v>
      </c>
      <c r="U54" s="49">
        <v>10</v>
      </c>
      <c r="V54" s="48">
        <f t="shared" si="15"/>
        <v>95</v>
      </c>
      <c r="W54" s="49">
        <v>27</v>
      </c>
      <c r="X54" s="48">
        <f t="shared" si="16"/>
        <v>90.5</v>
      </c>
      <c r="Y54" s="50">
        <f t="shared" si="17"/>
        <v>93.5</v>
      </c>
      <c r="Z54" s="92">
        <f t="shared" si="18"/>
        <v>9.35</v>
      </c>
      <c r="AA54" s="93">
        <v>85</v>
      </c>
      <c r="AB54" s="94">
        <f t="shared" si="40"/>
        <v>17.650000000000002</v>
      </c>
      <c r="AC54" s="95">
        <v>66</v>
      </c>
      <c r="AD54" s="55">
        <f t="shared" si="41"/>
        <v>79.7</v>
      </c>
      <c r="AE54" s="56">
        <f t="shared" si="19"/>
        <v>31.880000000000003</v>
      </c>
      <c r="AF54" s="57">
        <f t="shared" si="0"/>
        <v>85.186250000000001</v>
      </c>
      <c r="AG54" s="58">
        <f t="shared" si="20"/>
        <v>42.593125000000001</v>
      </c>
      <c r="AH54" s="59">
        <f t="shared" si="1"/>
        <v>1.99000000000002</v>
      </c>
      <c r="AI54" s="80">
        <v>40</v>
      </c>
      <c r="AJ54" s="81" t="str">
        <f t="shared" si="2"/>
        <v>DELA CRUZ, JUAN P.</v>
      </c>
      <c r="AK54" s="96">
        <v>30</v>
      </c>
      <c r="AL54" s="83">
        <f t="shared" si="21"/>
        <v>95</v>
      </c>
      <c r="AM54" s="84">
        <v>19</v>
      </c>
      <c r="AN54" s="83">
        <f t="shared" si="22"/>
        <v>78.5</v>
      </c>
      <c r="AO54" s="97">
        <f t="shared" si="23"/>
        <v>86.75</v>
      </c>
      <c r="AP54" s="98">
        <f t="shared" si="24"/>
        <v>21.6875</v>
      </c>
      <c r="AQ54" s="85">
        <v>18</v>
      </c>
      <c r="AR54" s="86">
        <f t="shared" si="42"/>
        <v>90.5</v>
      </c>
      <c r="AS54" s="99">
        <v>10</v>
      </c>
      <c r="AT54" s="100">
        <f t="shared" si="25"/>
        <v>95</v>
      </c>
      <c r="AU54" s="99">
        <v>10</v>
      </c>
      <c r="AV54" s="100">
        <f t="shared" si="26"/>
        <v>95</v>
      </c>
      <c r="AW54" s="88">
        <v>100</v>
      </c>
      <c r="AX54" s="101">
        <f t="shared" si="27"/>
        <v>95</v>
      </c>
      <c r="AY54" s="89">
        <f t="shared" si="28"/>
        <v>93.875</v>
      </c>
      <c r="AZ54" s="90">
        <f t="shared" si="29"/>
        <v>4.6937500000000005</v>
      </c>
      <c r="BA54" s="102">
        <v>10</v>
      </c>
      <c r="BB54" s="48">
        <f t="shared" si="30"/>
        <v>95</v>
      </c>
      <c r="BC54" s="49">
        <v>10</v>
      </c>
      <c r="BD54" s="48">
        <f t="shared" si="31"/>
        <v>95</v>
      </c>
      <c r="BE54" s="49">
        <v>10</v>
      </c>
      <c r="BF54" s="48">
        <f t="shared" si="32"/>
        <v>95</v>
      </c>
      <c r="BG54" s="50">
        <f t="shared" si="33"/>
        <v>95</v>
      </c>
      <c r="BH54" s="69">
        <f t="shared" si="34"/>
        <v>9.5</v>
      </c>
      <c r="BI54" s="103">
        <v>85</v>
      </c>
      <c r="BJ54" s="104">
        <f t="shared" si="43"/>
        <v>17.650000000000002</v>
      </c>
      <c r="BK54" s="95">
        <v>54</v>
      </c>
      <c r="BL54" s="105">
        <f t="shared" si="44"/>
        <v>74.3</v>
      </c>
      <c r="BM54" s="106">
        <f t="shared" si="35"/>
        <v>29.72</v>
      </c>
      <c r="BN54" s="75">
        <f t="shared" si="36"/>
        <v>83.251249999999999</v>
      </c>
      <c r="BO54" s="107">
        <f t="shared" si="37"/>
        <v>41.625624999999999</v>
      </c>
      <c r="BP54" s="108">
        <f t="shared" si="38"/>
        <v>84.21875</v>
      </c>
      <c r="BQ54" s="109">
        <f t="shared" si="3"/>
        <v>2.0800000000000201</v>
      </c>
      <c r="BR54" s="79" t="str">
        <f t="shared" si="39"/>
        <v>PASSED</v>
      </c>
    </row>
    <row r="55" spans="1:77" ht="15" customHeight="1" x14ac:dyDescent="0.3">
      <c r="A55" s="80">
        <v>41</v>
      </c>
      <c r="B55" s="81" t="s">
        <v>46</v>
      </c>
      <c r="C55" s="82">
        <v>23.4</v>
      </c>
      <c r="D55" s="83">
        <f t="shared" si="4"/>
        <v>85.1</v>
      </c>
      <c r="E55" s="84">
        <v>14</v>
      </c>
      <c r="F55" s="83">
        <f t="shared" si="5"/>
        <v>71</v>
      </c>
      <c r="G55" s="40">
        <f t="shared" si="6"/>
        <v>78.05</v>
      </c>
      <c r="H55" s="41">
        <f t="shared" si="7"/>
        <v>19.512499999999999</v>
      </c>
      <c r="I55" s="85">
        <v>0</v>
      </c>
      <c r="J55" s="86">
        <f t="shared" si="8"/>
        <v>50</v>
      </c>
      <c r="K55" s="87">
        <v>0</v>
      </c>
      <c r="L55" s="86">
        <f t="shared" si="9"/>
        <v>50</v>
      </c>
      <c r="M55" s="87">
        <v>10</v>
      </c>
      <c r="N55" s="86">
        <f t="shared" si="10"/>
        <v>95</v>
      </c>
      <c r="O55" s="88">
        <v>85</v>
      </c>
      <c r="P55" s="86">
        <f t="shared" si="11"/>
        <v>88.25</v>
      </c>
      <c r="Q55" s="89">
        <f t="shared" si="12"/>
        <v>70.8125</v>
      </c>
      <c r="R55" s="90">
        <f t="shared" si="13"/>
        <v>3.5406250000000004</v>
      </c>
      <c r="S55" s="91">
        <v>10</v>
      </c>
      <c r="T55" s="48">
        <f t="shared" si="14"/>
        <v>95</v>
      </c>
      <c r="U55" s="49">
        <v>0</v>
      </c>
      <c r="V55" s="48">
        <f t="shared" si="15"/>
        <v>50</v>
      </c>
      <c r="W55" s="49">
        <v>29</v>
      </c>
      <c r="X55" s="48">
        <f t="shared" si="16"/>
        <v>93.5</v>
      </c>
      <c r="Y55" s="50">
        <f t="shared" si="17"/>
        <v>79.5</v>
      </c>
      <c r="Z55" s="92">
        <f t="shared" si="18"/>
        <v>7.95</v>
      </c>
      <c r="AA55" s="93">
        <v>70</v>
      </c>
      <c r="AB55" s="94">
        <f t="shared" si="40"/>
        <v>16.3</v>
      </c>
      <c r="AC55" s="95">
        <v>68</v>
      </c>
      <c r="AD55" s="55">
        <f t="shared" si="41"/>
        <v>80.599999999999994</v>
      </c>
      <c r="AE55" s="56">
        <f t="shared" si="19"/>
        <v>32.24</v>
      </c>
      <c r="AF55" s="57">
        <f t="shared" si="0"/>
        <v>79.543125000000003</v>
      </c>
      <c r="AG55" s="58">
        <f t="shared" si="20"/>
        <v>39.771562500000002</v>
      </c>
      <c r="AH55" s="59">
        <f t="shared" si="1"/>
        <v>2.55000000000001</v>
      </c>
      <c r="AI55" s="80">
        <v>41</v>
      </c>
      <c r="AJ55" s="81" t="str">
        <f t="shared" si="2"/>
        <v>DELA CRUZ, JUAN P.</v>
      </c>
      <c r="AK55" s="96">
        <v>30</v>
      </c>
      <c r="AL55" s="83">
        <f t="shared" si="21"/>
        <v>95</v>
      </c>
      <c r="AM55" s="84">
        <v>17</v>
      </c>
      <c r="AN55" s="83">
        <f t="shared" si="22"/>
        <v>75.5</v>
      </c>
      <c r="AO55" s="97">
        <f t="shared" si="23"/>
        <v>85.25</v>
      </c>
      <c r="AP55" s="98">
        <f t="shared" si="24"/>
        <v>21.3125</v>
      </c>
      <c r="AQ55" s="85">
        <v>0</v>
      </c>
      <c r="AR55" s="86">
        <f t="shared" si="42"/>
        <v>50</v>
      </c>
      <c r="AS55" s="99">
        <v>10</v>
      </c>
      <c r="AT55" s="100">
        <f t="shared" si="25"/>
        <v>95</v>
      </c>
      <c r="AU55" s="99">
        <v>10</v>
      </c>
      <c r="AV55" s="100">
        <f t="shared" si="26"/>
        <v>95</v>
      </c>
      <c r="AW55" s="88">
        <v>93</v>
      </c>
      <c r="AX55" s="101">
        <f t="shared" si="27"/>
        <v>91.85</v>
      </c>
      <c r="AY55" s="89">
        <f t="shared" si="28"/>
        <v>82.962500000000006</v>
      </c>
      <c r="AZ55" s="90">
        <f t="shared" si="29"/>
        <v>4.1481250000000003</v>
      </c>
      <c r="BA55" s="102">
        <v>10</v>
      </c>
      <c r="BB55" s="48">
        <f t="shared" si="30"/>
        <v>95</v>
      </c>
      <c r="BC55" s="49">
        <v>10</v>
      </c>
      <c r="BD55" s="48">
        <f t="shared" si="31"/>
        <v>95</v>
      </c>
      <c r="BE55" s="49">
        <v>10</v>
      </c>
      <c r="BF55" s="48">
        <f t="shared" si="32"/>
        <v>95</v>
      </c>
      <c r="BG55" s="50">
        <f t="shared" si="33"/>
        <v>95</v>
      </c>
      <c r="BH55" s="69">
        <f t="shared" si="34"/>
        <v>9.5</v>
      </c>
      <c r="BI55" s="103">
        <v>70</v>
      </c>
      <c r="BJ55" s="104">
        <f t="shared" si="43"/>
        <v>16.3</v>
      </c>
      <c r="BK55" s="95">
        <v>62</v>
      </c>
      <c r="BL55" s="105">
        <f t="shared" si="44"/>
        <v>77.900000000000006</v>
      </c>
      <c r="BM55" s="106">
        <f t="shared" si="35"/>
        <v>31.160000000000004</v>
      </c>
      <c r="BN55" s="75">
        <f t="shared" si="36"/>
        <v>82.420625000000001</v>
      </c>
      <c r="BO55" s="107">
        <f t="shared" si="37"/>
        <v>41.210312500000001</v>
      </c>
      <c r="BP55" s="108">
        <f t="shared" si="38"/>
        <v>80.981875000000002</v>
      </c>
      <c r="BQ55" s="109">
        <f t="shared" si="3"/>
        <v>2.4100000000000099</v>
      </c>
      <c r="BR55" s="79" t="str">
        <f t="shared" si="39"/>
        <v>PASSED</v>
      </c>
    </row>
    <row r="56" spans="1:77" ht="15" customHeight="1" x14ac:dyDescent="0.3">
      <c r="A56" s="80">
        <v>42</v>
      </c>
      <c r="B56" s="81" t="s">
        <v>46</v>
      </c>
      <c r="C56" s="82">
        <v>24.599999999999998</v>
      </c>
      <c r="D56" s="83">
        <f t="shared" si="4"/>
        <v>86.9</v>
      </c>
      <c r="E56" s="84">
        <v>27</v>
      </c>
      <c r="F56" s="83">
        <f t="shared" si="5"/>
        <v>90.5</v>
      </c>
      <c r="G56" s="40">
        <f t="shared" si="6"/>
        <v>88.7</v>
      </c>
      <c r="H56" s="41">
        <f t="shared" si="7"/>
        <v>22.175000000000001</v>
      </c>
      <c r="I56" s="85">
        <v>10</v>
      </c>
      <c r="J56" s="86">
        <f t="shared" si="8"/>
        <v>95</v>
      </c>
      <c r="K56" s="87">
        <v>10</v>
      </c>
      <c r="L56" s="86">
        <f t="shared" si="9"/>
        <v>95</v>
      </c>
      <c r="M56" s="87">
        <v>10</v>
      </c>
      <c r="N56" s="86">
        <f t="shared" si="10"/>
        <v>95</v>
      </c>
      <c r="O56" s="88">
        <v>100</v>
      </c>
      <c r="P56" s="86">
        <f t="shared" si="11"/>
        <v>95</v>
      </c>
      <c r="Q56" s="89">
        <f t="shared" si="12"/>
        <v>95</v>
      </c>
      <c r="R56" s="90">
        <f t="shared" si="13"/>
        <v>4.75</v>
      </c>
      <c r="S56" s="91">
        <v>10</v>
      </c>
      <c r="T56" s="48">
        <f t="shared" si="14"/>
        <v>95</v>
      </c>
      <c r="U56" s="49">
        <v>10</v>
      </c>
      <c r="V56" s="48">
        <f t="shared" si="15"/>
        <v>95</v>
      </c>
      <c r="W56" s="49">
        <v>21</v>
      </c>
      <c r="X56" s="48">
        <f t="shared" si="16"/>
        <v>81.5</v>
      </c>
      <c r="Y56" s="50">
        <f t="shared" si="17"/>
        <v>90.5</v>
      </c>
      <c r="Z56" s="92">
        <f t="shared" si="18"/>
        <v>9.0500000000000007</v>
      </c>
      <c r="AA56" s="93">
        <v>85</v>
      </c>
      <c r="AB56" s="94">
        <f t="shared" si="40"/>
        <v>17.650000000000002</v>
      </c>
      <c r="AC56" s="95">
        <v>80</v>
      </c>
      <c r="AD56" s="55">
        <f t="shared" si="41"/>
        <v>86</v>
      </c>
      <c r="AE56" s="56">
        <f t="shared" si="19"/>
        <v>34.4</v>
      </c>
      <c r="AF56" s="57">
        <f t="shared" si="0"/>
        <v>88.025000000000006</v>
      </c>
      <c r="AG56" s="58">
        <f t="shared" si="20"/>
        <v>44.012500000000003</v>
      </c>
      <c r="AH56" s="59">
        <f t="shared" si="1"/>
        <v>1.7000000000000299</v>
      </c>
      <c r="AI56" s="80">
        <v>42</v>
      </c>
      <c r="AJ56" s="81" t="str">
        <f t="shared" si="2"/>
        <v>DELA CRUZ, JUAN P.</v>
      </c>
      <c r="AK56" s="96">
        <v>30</v>
      </c>
      <c r="AL56" s="83">
        <f t="shared" si="21"/>
        <v>95</v>
      </c>
      <c r="AM56" s="84">
        <v>26</v>
      </c>
      <c r="AN56" s="83">
        <f t="shared" si="22"/>
        <v>89</v>
      </c>
      <c r="AO56" s="97">
        <f t="shared" si="23"/>
        <v>92</v>
      </c>
      <c r="AP56" s="98">
        <f t="shared" si="24"/>
        <v>23</v>
      </c>
      <c r="AQ56" s="85">
        <v>11</v>
      </c>
      <c r="AR56" s="86">
        <f t="shared" si="42"/>
        <v>74.75</v>
      </c>
      <c r="AS56" s="99">
        <v>10</v>
      </c>
      <c r="AT56" s="100">
        <f t="shared" si="25"/>
        <v>95</v>
      </c>
      <c r="AU56" s="99">
        <v>10</v>
      </c>
      <c r="AV56" s="100">
        <f t="shared" si="26"/>
        <v>95</v>
      </c>
      <c r="AW56" s="88">
        <v>100</v>
      </c>
      <c r="AX56" s="101">
        <f t="shared" si="27"/>
        <v>95</v>
      </c>
      <c r="AY56" s="89">
        <f t="shared" si="28"/>
        <v>89.9375</v>
      </c>
      <c r="AZ56" s="90">
        <f t="shared" si="29"/>
        <v>4.4968750000000002</v>
      </c>
      <c r="BA56" s="102">
        <v>10</v>
      </c>
      <c r="BB56" s="48">
        <f t="shared" si="30"/>
        <v>95</v>
      </c>
      <c r="BC56" s="49">
        <v>10</v>
      </c>
      <c r="BD56" s="48">
        <f t="shared" si="31"/>
        <v>95</v>
      </c>
      <c r="BE56" s="49">
        <v>10</v>
      </c>
      <c r="BF56" s="48">
        <f t="shared" si="32"/>
        <v>95</v>
      </c>
      <c r="BG56" s="50">
        <f t="shared" si="33"/>
        <v>95</v>
      </c>
      <c r="BH56" s="69">
        <f t="shared" si="34"/>
        <v>9.5</v>
      </c>
      <c r="BI56" s="103">
        <v>80</v>
      </c>
      <c r="BJ56" s="104">
        <f t="shared" si="43"/>
        <v>17.2</v>
      </c>
      <c r="BK56" s="95">
        <v>82</v>
      </c>
      <c r="BL56" s="105">
        <f t="shared" si="44"/>
        <v>86.9</v>
      </c>
      <c r="BM56" s="106">
        <f t="shared" si="35"/>
        <v>34.760000000000005</v>
      </c>
      <c r="BN56" s="75">
        <f t="shared" si="36"/>
        <v>88.956875000000011</v>
      </c>
      <c r="BO56" s="107">
        <f t="shared" si="37"/>
        <v>44.478437500000005</v>
      </c>
      <c r="BP56" s="108">
        <f t="shared" si="38"/>
        <v>88.490937500000001</v>
      </c>
      <c r="BQ56" s="109">
        <f t="shared" si="3"/>
        <v>1.6600000000000299</v>
      </c>
      <c r="BR56" s="79" t="str">
        <f t="shared" si="39"/>
        <v>PASSED</v>
      </c>
    </row>
    <row r="57" spans="1:77" ht="15" customHeight="1" x14ac:dyDescent="0.3">
      <c r="A57" s="80">
        <v>43</v>
      </c>
      <c r="B57" s="81" t="s">
        <v>46</v>
      </c>
      <c r="C57" s="82">
        <v>19.8</v>
      </c>
      <c r="D57" s="83">
        <f t="shared" si="4"/>
        <v>79.7</v>
      </c>
      <c r="E57" s="84">
        <v>25</v>
      </c>
      <c r="F57" s="83">
        <f t="shared" si="5"/>
        <v>87.5</v>
      </c>
      <c r="G57" s="40">
        <f t="shared" si="6"/>
        <v>83.6</v>
      </c>
      <c r="H57" s="41">
        <f t="shared" si="7"/>
        <v>20.9</v>
      </c>
      <c r="I57" s="85">
        <v>6</v>
      </c>
      <c r="J57" s="86">
        <f t="shared" si="8"/>
        <v>77</v>
      </c>
      <c r="K57" s="87">
        <v>10</v>
      </c>
      <c r="L57" s="86">
        <f t="shared" si="9"/>
        <v>95</v>
      </c>
      <c r="M57" s="87">
        <v>10</v>
      </c>
      <c r="N57" s="86">
        <f t="shared" si="10"/>
        <v>95</v>
      </c>
      <c r="O57" s="88">
        <v>100</v>
      </c>
      <c r="P57" s="86">
        <f t="shared" si="11"/>
        <v>95</v>
      </c>
      <c r="Q57" s="89">
        <f t="shared" si="12"/>
        <v>90.5</v>
      </c>
      <c r="R57" s="90">
        <f t="shared" si="13"/>
        <v>4.5250000000000004</v>
      </c>
      <c r="S57" s="91">
        <v>10</v>
      </c>
      <c r="T57" s="48">
        <f t="shared" si="14"/>
        <v>95</v>
      </c>
      <c r="U57" s="49">
        <v>10</v>
      </c>
      <c r="V57" s="48">
        <f t="shared" si="15"/>
        <v>95</v>
      </c>
      <c r="W57" s="49">
        <v>13</v>
      </c>
      <c r="X57" s="48">
        <f t="shared" si="16"/>
        <v>69.5</v>
      </c>
      <c r="Y57" s="50">
        <f t="shared" si="17"/>
        <v>86.5</v>
      </c>
      <c r="Z57" s="92">
        <f t="shared" si="18"/>
        <v>8.65</v>
      </c>
      <c r="AA57" s="93">
        <v>90</v>
      </c>
      <c r="AB57" s="94">
        <f t="shared" si="40"/>
        <v>18.100000000000001</v>
      </c>
      <c r="AC57" s="95">
        <v>72</v>
      </c>
      <c r="AD57" s="55">
        <f t="shared" si="41"/>
        <v>82.4</v>
      </c>
      <c r="AE57" s="56">
        <f t="shared" si="19"/>
        <v>32.96</v>
      </c>
      <c r="AF57" s="57">
        <f t="shared" si="0"/>
        <v>85.134999999999991</v>
      </c>
      <c r="AG57" s="58">
        <f t="shared" si="20"/>
        <v>42.567499999999995</v>
      </c>
      <c r="AH57" s="59">
        <f t="shared" si="1"/>
        <v>1.99000000000002</v>
      </c>
      <c r="AI57" s="80">
        <v>43</v>
      </c>
      <c r="AJ57" s="81" t="str">
        <f t="shared" si="2"/>
        <v>DELA CRUZ, JUAN P.</v>
      </c>
      <c r="AK57" s="96">
        <v>13.999999999999998</v>
      </c>
      <c r="AL57" s="83">
        <f t="shared" si="21"/>
        <v>71</v>
      </c>
      <c r="AM57" s="84">
        <v>26</v>
      </c>
      <c r="AN57" s="83">
        <f t="shared" si="22"/>
        <v>89</v>
      </c>
      <c r="AO57" s="97">
        <f t="shared" si="23"/>
        <v>80</v>
      </c>
      <c r="AP57" s="98">
        <f t="shared" si="24"/>
        <v>20</v>
      </c>
      <c r="AQ57" s="85">
        <v>8</v>
      </c>
      <c r="AR57" s="86">
        <f t="shared" si="42"/>
        <v>68</v>
      </c>
      <c r="AS57" s="99">
        <v>10</v>
      </c>
      <c r="AT57" s="100">
        <f t="shared" si="25"/>
        <v>95</v>
      </c>
      <c r="AU57" s="99">
        <v>0</v>
      </c>
      <c r="AV57" s="100">
        <f t="shared" si="26"/>
        <v>50</v>
      </c>
      <c r="AW57" s="88">
        <v>95</v>
      </c>
      <c r="AX57" s="101">
        <f t="shared" si="27"/>
        <v>92.75</v>
      </c>
      <c r="AY57" s="89">
        <f t="shared" si="28"/>
        <v>76.4375</v>
      </c>
      <c r="AZ57" s="90">
        <f t="shared" si="29"/>
        <v>3.8218750000000004</v>
      </c>
      <c r="BA57" s="102">
        <v>2</v>
      </c>
      <c r="BB57" s="48">
        <f t="shared" si="30"/>
        <v>59</v>
      </c>
      <c r="BC57" s="49">
        <v>2</v>
      </c>
      <c r="BD57" s="48">
        <f t="shared" si="31"/>
        <v>59</v>
      </c>
      <c r="BE57" s="49">
        <v>10</v>
      </c>
      <c r="BF57" s="48">
        <f t="shared" si="32"/>
        <v>95</v>
      </c>
      <c r="BG57" s="50">
        <f t="shared" si="33"/>
        <v>71</v>
      </c>
      <c r="BH57" s="69">
        <f t="shared" si="34"/>
        <v>7.1000000000000005</v>
      </c>
      <c r="BI57" s="103">
        <v>85</v>
      </c>
      <c r="BJ57" s="104">
        <f t="shared" si="43"/>
        <v>17.650000000000002</v>
      </c>
      <c r="BK57" s="95">
        <v>66</v>
      </c>
      <c r="BL57" s="105">
        <f t="shared" si="44"/>
        <v>79.7</v>
      </c>
      <c r="BM57" s="106">
        <f t="shared" si="35"/>
        <v>31.880000000000003</v>
      </c>
      <c r="BN57" s="75">
        <f t="shared" si="36"/>
        <v>80.451875000000001</v>
      </c>
      <c r="BO57" s="107">
        <f t="shared" si="37"/>
        <v>40.225937500000001</v>
      </c>
      <c r="BP57" s="108">
        <f t="shared" si="38"/>
        <v>82.793437499999996</v>
      </c>
      <c r="BQ57" s="109">
        <f t="shared" si="3"/>
        <v>2.23000000000002</v>
      </c>
      <c r="BR57" s="79" t="str">
        <f t="shared" si="39"/>
        <v>PASSED</v>
      </c>
    </row>
    <row r="58" spans="1:77" ht="15" customHeight="1" x14ac:dyDescent="0.3">
      <c r="A58" s="80">
        <v>44</v>
      </c>
      <c r="B58" s="81" t="s">
        <v>46</v>
      </c>
      <c r="C58" s="82">
        <v>29.4</v>
      </c>
      <c r="D58" s="83">
        <f t="shared" si="4"/>
        <v>94.1</v>
      </c>
      <c r="E58" s="84">
        <v>23</v>
      </c>
      <c r="F58" s="83">
        <f t="shared" si="5"/>
        <v>84.5</v>
      </c>
      <c r="G58" s="40">
        <f t="shared" si="6"/>
        <v>89.3</v>
      </c>
      <c r="H58" s="41">
        <f t="shared" si="7"/>
        <v>22.324999999999999</v>
      </c>
      <c r="I58" s="85">
        <v>7</v>
      </c>
      <c r="J58" s="86">
        <f t="shared" si="8"/>
        <v>81.5</v>
      </c>
      <c r="K58" s="87">
        <v>10</v>
      </c>
      <c r="L58" s="86">
        <f t="shared" si="9"/>
        <v>95</v>
      </c>
      <c r="M58" s="87">
        <v>10</v>
      </c>
      <c r="N58" s="86">
        <f t="shared" si="10"/>
        <v>95</v>
      </c>
      <c r="O58" s="88">
        <v>100</v>
      </c>
      <c r="P58" s="86">
        <f t="shared" si="11"/>
        <v>95</v>
      </c>
      <c r="Q58" s="89">
        <f t="shared" si="12"/>
        <v>91.625</v>
      </c>
      <c r="R58" s="90">
        <f t="shared" si="13"/>
        <v>4.5812499999999998</v>
      </c>
      <c r="S58" s="91">
        <v>10</v>
      </c>
      <c r="T58" s="48">
        <f t="shared" si="14"/>
        <v>95</v>
      </c>
      <c r="U58" s="49">
        <v>10</v>
      </c>
      <c r="V58" s="48">
        <f t="shared" si="15"/>
        <v>95</v>
      </c>
      <c r="W58" s="49">
        <v>29</v>
      </c>
      <c r="X58" s="48">
        <f t="shared" si="16"/>
        <v>93.5</v>
      </c>
      <c r="Y58" s="50">
        <f t="shared" si="17"/>
        <v>94.5</v>
      </c>
      <c r="Z58" s="92">
        <f t="shared" si="18"/>
        <v>9.4500000000000011</v>
      </c>
      <c r="AA58" s="93">
        <v>95</v>
      </c>
      <c r="AB58" s="94">
        <f t="shared" si="40"/>
        <v>18.55</v>
      </c>
      <c r="AC58" s="95">
        <v>72</v>
      </c>
      <c r="AD58" s="55">
        <f t="shared" si="41"/>
        <v>82.4</v>
      </c>
      <c r="AE58" s="56">
        <f t="shared" si="19"/>
        <v>32.96</v>
      </c>
      <c r="AF58" s="57">
        <f t="shared" si="0"/>
        <v>87.866250000000008</v>
      </c>
      <c r="AG58" s="58">
        <f t="shared" si="20"/>
        <v>43.933125000000004</v>
      </c>
      <c r="AH58" s="59">
        <f t="shared" si="1"/>
        <v>1.7200000000000299</v>
      </c>
      <c r="AI58" s="80">
        <v>44</v>
      </c>
      <c r="AJ58" s="81" t="str">
        <f t="shared" si="2"/>
        <v>DELA CRUZ, JUAN P.</v>
      </c>
      <c r="AK58" s="96">
        <v>30</v>
      </c>
      <c r="AL58" s="83">
        <f t="shared" si="21"/>
        <v>95</v>
      </c>
      <c r="AM58" s="84">
        <v>26</v>
      </c>
      <c r="AN58" s="83">
        <f t="shared" si="22"/>
        <v>89</v>
      </c>
      <c r="AO58" s="97">
        <f t="shared" si="23"/>
        <v>92</v>
      </c>
      <c r="AP58" s="98">
        <f t="shared" si="24"/>
        <v>23</v>
      </c>
      <c r="AQ58" s="85">
        <v>20</v>
      </c>
      <c r="AR58" s="86">
        <f t="shared" si="42"/>
        <v>95</v>
      </c>
      <c r="AS58" s="99">
        <v>10</v>
      </c>
      <c r="AT58" s="100">
        <f t="shared" si="25"/>
        <v>95</v>
      </c>
      <c r="AU58" s="99">
        <v>10</v>
      </c>
      <c r="AV58" s="100">
        <f t="shared" si="26"/>
        <v>95</v>
      </c>
      <c r="AW58" s="88">
        <v>100</v>
      </c>
      <c r="AX58" s="101">
        <f t="shared" si="27"/>
        <v>95</v>
      </c>
      <c r="AY58" s="89">
        <f t="shared" si="28"/>
        <v>95</v>
      </c>
      <c r="AZ58" s="90">
        <f t="shared" si="29"/>
        <v>4.75</v>
      </c>
      <c r="BA58" s="102">
        <v>10</v>
      </c>
      <c r="BB58" s="48">
        <f t="shared" si="30"/>
        <v>95</v>
      </c>
      <c r="BC58" s="49">
        <v>10</v>
      </c>
      <c r="BD58" s="48">
        <f t="shared" si="31"/>
        <v>95</v>
      </c>
      <c r="BE58" s="49">
        <v>10</v>
      </c>
      <c r="BF58" s="48">
        <f t="shared" si="32"/>
        <v>95</v>
      </c>
      <c r="BG58" s="50">
        <f t="shared" si="33"/>
        <v>95</v>
      </c>
      <c r="BH58" s="69">
        <f t="shared" si="34"/>
        <v>9.5</v>
      </c>
      <c r="BI58" s="103">
        <v>85</v>
      </c>
      <c r="BJ58" s="104">
        <f t="shared" si="43"/>
        <v>17.650000000000002</v>
      </c>
      <c r="BK58" s="95">
        <v>80</v>
      </c>
      <c r="BL58" s="105">
        <f t="shared" si="44"/>
        <v>86</v>
      </c>
      <c r="BM58" s="106">
        <f t="shared" si="35"/>
        <v>34.4</v>
      </c>
      <c r="BN58" s="75">
        <f t="shared" si="36"/>
        <v>89.300000000000011</v>
      </c>
      <c r="BO58" s="107">
        <f t="shared" si="37"/>
        <v>44.650000000000006</v>
      </c>
      <c r="BP58" s="108">
        <f t="shared" si="38"/>
        <v>88.58312500000001</v>
      </c>
      <c r="BQ58" s="109">
        <f t="shared" si="3"/>
        <v>1.6500000000000301</v>
      </c>
      <c r="BR58" s="79" t="str">
        <f t="shared" si="39"/>
        <v>PASSED</v>
      </c>
    </row>
    <row r="59" spans="1:77" ht="15" customHeight="1" x14ac:dyDescent="0.3">
      <c r="A59" s="80">
        <v>45</v>
      </c>
      <c r="B59" s="81" t="s">
        <v>46</v>
      </c>
      <c r="C59" s="82">
        <v>26.4</v>
      </c>
      <c r="D59" s="83">
        <f t="shared" si="4"/>
        <v>89.6</v>
      </c>
      <c r="E59" s="84">
        <v>16</v>
      </c>
      <c r="F59" s="83">
        <f t="shared" si="5"/>
        <v>74</v>
      </c>
      <c r="G59" s="40">
        <f t="shared" si="6"/>
        <v>81.8</v>
      </c>
      <c r="H59" s="41">
        <f t="shared" si="7"/>
        <v>20.45</v>
      </c>
      <c r="I59" s="85">
        <v>10</v>
      </c>
      <c r="J59" s="86">
        <f t="shared" si="8"/>
        <v>95</v>
      </c>
      <c r="K59" s="87">
        <v>10</v>
      </c>
      <c r="L59" s="86">
        <f t="shared" si="9"/>
        <v>95</v>
      </c>
      <c r="M59" s="87">
        <v>10</v>
      </c>
      <c r="N59" s="86">
        <f t="shared" si="10"/>
        <v>95</v>
      </c>
      <c r="O59" s="88">
        <v>100</v>
      </c>
      <c r="P59" s="86">
        <f t="shared" si="11"/>
        <v>95</v>
      </c>
      <c r="Q59" s="89">
        <f t="shared" si="12"/>
        <v>95</v>
      </c>
      <c r="R59" s="90">
        <f t="shared" si="13"/>
        <v>4.75</v>
      </c>
      <c r="S59" s="91">
        <v>10</v>
      </c>
      <c r="T59" s="48">
        <f t="shared" si="14"/>
        <v>95</v>
      </c>
      <c r="U59" s="49">
        <v>10</v>
      </c>
      <c r="V59" s="48">
        <f t="shared" si="15"/>
        <v>95</v>
      </c>
      <c r="W59" s="49">
        <v>24</v>
      </c>
      <c r="X59" s="48">
        <f t="shared" si="16"/>
        <v>86</v>
      </c>
      <c r="Y59" s="50">
        <f t="shared" si="17"/>
        <v>92</v>
      </c>
      <c r="Z59" s="92">
        <f t="shared" si="18"/>
        <v>9.2000000000000011</v>
      </c>
      <c r="AA59" s="93">
        <v>85</v>
      </c>
      <c r="AB59" s="94">
        <f t="shared" si="40"/>
        <v>17.650000000000002</v>
      </c>
      <c r="AC59" s="95">
        <v>64</v>
      </c>
      <c r="AD59" s="55">
        <f t="shared" si="41"/>
        <v>78.8</v>
      </c>
      <c r="AE59" s="56">
        <f t="shared" si="19"/>
        <v>31.52</v>
      </c>
      <c r="AF59" s="57">
        <f t="shared" si="0"/>
        <v>83.57</v>
      </c>
      <c r="AG59" s="58">
        <f t="shared" si="20"/>
        <v>41.784999999999997</v>
      </c>
      <c r="AH59" s="59">
        <f t="shared" si="1"/>
        <v>2.1500000000000199</v>
      </c>
      <c r="AI59" s="80">
        <v>45</v>
      </c>
      <c r="AJ59" s="81" t="str">
        <f t="shared" si="2"/>
        <v>DELA CRUZ, JUAN P.</v>
      </c>
      <c r="AK59" s="96">
        <v>26</v>
      </c>
      <c r="AL59" s="83">
        <f t="shared" si="21"/>
        <v>89</v>
      </c>
      <c r="AM59" s="84">
        <v>25</v>
      </c>
      <c r="AN59" s="83">
        <f t="shared" si="22"/>
        <v>87.5</v>
      </c>
      <c r="AO59" s="97">
        <f t="shared" si="23"/>
        <v>88.25</v>
      </c>
      <c r="AP59" s="98">
        <f t="shared" si="24"/>
        <v>22.0625</v>
      </c>
      <c r="AQ59" s="85">
        <v>11</v>
      </c>
      <c r="AR59" s="86">
        <f t="shared" si="42"/>
        <v>74.75</v>
      </c>
      <c r="AS59" s="99">
        <v>0</v>
      </c>
      <c r="AT59" s="100">
        <f t="shared" si="25"/>
        <v>50</v>
      </c>
      <c r="AU59" s="99">
        <v>0</v>
      </c>
      <c r="AV59" s="100">
        <f t="shared" si="26"/>
        <v>50</v>
      </c>
      <c r="AW59" s="88">
        <v>95</v>
      </c>
      <c r="AX59" s="101">
        <f t="shared" si="27"/>
        <v>92.75</v>
      </c>
      <c r="AY59" s="89">
        <f t="shared" si="28"/>
        <v>66.875</v>
      </c>
      <c r="AZ59" s="90">
        <f t="shared" si="29"/>
        <v>3.34375</v>
      </c>
      <c r="BA59" s="102">
        <v>8</v>
      </c>
      <c r="BB59" s="48">
        <f t="shared" si="30"/>
        <v>86</v>
      </c>
      <c r="BC59" s="49">
        <v>8</v>
      </c>
      <c r="BD59" s="48">
        <f t="shared" si="31"/>
        <v>86</v>
      </c>
      <c r="BE59" s="49">
        <v>10</v>
      </c>
      <c r="BF59" s="48">
        <f t="shared" si="32"/>
        <v>95</v>
      </c>
      <c r="BG59" s="50">
        <f t="shared" si="33"/>
        <v>89</v>
      </c>
      <c r="BH59" s="69">
        <f t="shared" si="34"/>
        <v>8.9</v>
      </c>
      <c r="BI59" s="103">
        <v>80</v>
      </c>
      <c r="BJ59" s="104">
        <f t="shared" si="43"/>
        <v>17.2</v>
      </c>
      <c r="BK59" s="95">
        <v>74</v>
      </c>
      <c r="BL59" s="105">
        <f t="shared" si="44"/>
        <v>83.3</v>
      </c>
      <c r="BM59" s="106">
        <f t="shared" si="35"/>
        <v>33.32</v>
      </c>
      <c r="BN59" s="75">
        <f t="shared" si="36"/>
        <v>84.826249999999987</v>
      </c>
      <c r="BO59" s="107">
        <f t="shared" si="37"/>
        <v>42.413124999999994</v>
      </c>
      <c r="BP59" s="108">
        <f t="shared" si="38"/>
        <v>84.19812499999999</v>
      </c>
      <c r="BQ59" s="109">
        <f t="shared" si="3"/>
        <v>2.0900000000000198</v>
      </c>
      <c r="BR59" s="79" t="str">
        <f t="shared" si="39"/>
        <v>PASSED</v>
      </c>
    </row>
    <row r="60" spans="1:77" ht="15" customHeight="1" thickBot="1" x14ac:dyDescent="0.3">
      <c r="A60" s="112"/>
      <c r="B60" s="113" t="s">
        <v>39</v>
      </c>
      <c r="C60" s="114"/>
      <c r="D60" s="115"/>
      <c r="E60" s="116"/>
      <c r="F60" s="115"/>
      <c r="G60" s="115"/>
      <c r="H60" s="117"/>
      <c r="I60" s="118"/>
      <c r="J60" s="119"/>
      <c r="K60" s="119"/>
      <c r="L60" s="119"/>
      <c r="M60" s="119"/>
      <c r="N60" s="119"/>
      <c r="O60" s="120"/>
      <c r="P60" s="120"/>
      <c r="Q60" s="119"/>
      <c r="R60" s="121"/>
      <c r="S60" s="122"/>
      <c r="T60" s="123"/>
      <c r="U60" s="123"/>
      <c r="V60" s="123"/>
      <c r="W60" s="123"/>
      <c r="X60" s="123"/>
      <c r="Y60" s="123"/>
      <c r="Z60" s="124"/>
      <c r="AA60" s="125"/>
      <c r="AB60" s="126"/>
      <c r="AC60" s="127"/>
      <c r="AD60" s="128"/>
      <c r="AE60" s="129"/>
      <c r="AF60" s="130"/>
      <c r="AG60" s="131"/>
      <c r="AH60" s="132"/>
      <c r="AI60" s="133"/>
      <c r="AJ60" s="113" t="s">
        <v>39</v>
      </c>
      <c r="AK60" s="134"/>
      <c r="AL60" s="135"/>
      <c r="AM60" s="115"/>
      <c r="AN60" s="135"/>
      <c r="AO60" s="135"/>
      <c r="AP60" s="136"/>
      <c r="AQ60" s="137"/>
      <c r="AR60" s="138"/>
      <c r="AS60" s="138"/>
      <c r="AT60" s="138"/>
      <c r="AU60" s="138"/>
      <c r="AV60" s="138"/>
      <c r="AW60" s="138"/>
      <c r="AX60" s="138"/>
      <c r="AY60" s="138"/>
      <c r="AZ60" s="139"/>
      <c r="BA60" s="140"/>
      <c r="BB60" s="141"/>
      <c r="BC60" s="141"/>
      <c r="BD60" s="141"/>
      <c r="BE60" s="141"/>
      <c r="BF60" s="141"/>
      <c r="BG60" s="142"/>
      <c r="BH60" s="143"/>
      <c r="BI60" s="144"/>
      <c r="BJ60" s="145"/>
      <c r="BK60" s="127"/>
      <c r="BL60" s="128"/>
      <c r="BM60" s="129"/>
      <c r="BN60" s="146"/>
      <c r="BO60" s="147"/>
      <c r="BP60" s="148"/>
      <c r="BQ60" s="149"/>
      <c r="BR60" s="150"/>
    </row>
    <row r="61" spans="1:77" ht="15" customHeight="1" x14ac:dyDescent="0.25">
      <c r="AD61" s="3"/>
      <c r="AJ61" s="12"/>
      <c r="AM61" s="16"/>
      <c r="AN61" s="16"/>
      <c r="AP61" s="12"/>
      <c r="BJ61" s="12"/>
      <c r="BK61" s="18"/>
      <c r="BM61" s="3"/>
      <c r="BN61" s="19"/>
      <c r="BO61" s="151"/>
      <c r="BP61" s="12"/>
    </row>
    <row r="62" spans="1:77" ht="15" customHeight="1" x14ac:dyDescent="0.3">
      <c r="A62" s="152"/>
      <c r="B62" s="152" t="s">
        <v>40</v>
      </c>
      <c r="C62" s="153"/>
      <c r="D62" s="153"/>
      <c r="E62" s="153"/>
      <c r="F62" s="153"/>
      <c r="G62" s="153"/>
      <c r="H62" s="154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2"/>
      <c r="AF62" s="12"/>
      <c r="AJ62" s="152" t="s">
        <v>40</v>
      </c>
      <c r="AK62" s="153"/>
      <c r="AL62" s="153"/>
      <c r="AM62" s="153"/>
      <c r="AN62" s="153"/>
      <c r="AO62" s="153"/>
      <c r="AP62" s="154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L62" s="12"/>
      <c r="BM62" s="12"/>
    </row>
    <row r="63" spans="1:77" s="12" customFormat="1" ht="15" customHeight="1" x14ac:dyDescent="0.3">
      <c r="A63" s="152"/>
      <c r="B63" s="152"/>
      <c r="C63" s="153"/>
      <c r="D63" s="153"/>
      <c r="E63" s="153"/>
      <c r="F63" s="153"/>
      <c r="G63" s="153"/>
      <c r="H63" s="154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J63" s="152"/>
      <c r="AK63" s="153"/>
      <c r="AL63" s="153"/>
      <c r="AM63" s="153"/>
      <c r="AN63" s="153"/>
      <c r="AO63" s="153"/>
      <c r="AP63" s="154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G63" s="155"/>
      <c r="BH63" s="155"/>
      <c r="BI63" s="155"/>
      <c r="BJ63" s="155"/>
      <c r="BO63" s="19"/>
      <c r="BP63" s="18"/>
      <c r="BS63" s="3"/>
      <c r="BT63" s="3"/>
      <c r="BU63" s="3"/>
      <c r="BV63" s="3"/>
      <c r="BW63" s="3"/>
      <c r="BX63" s="3"/>
      <c r="BY63" s="3"/>
    </row>
    <row r="64" spans="1:77" s="12" customFormat="1" ht="15" customHeight="1" x14ac:dyDescent="0.3">
      <c r="A64" s="152"/>
      <c r="B64" s="152"/>
      <c r="C64" s="153"/>
      <c r="D64" s="153"/>
      <c r="E64" s="153"/>
      <c r="F64" s="153"/>
      <c r="G64" s="153"/>
      <c r="H64" s="153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J64" s="152"/>
      <c r="AK64" s="153"/>
      <c r="AL64" s="153"/>
      <c r="AM64" s="153"/>
      <c r="AN64" s="153"/>
      <c r="AO64" s="153"/>
      <c r="AP64" s="153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G64" s="155"/>
      <c r="BH64" s="155"/>
      <c r="BI64" s="155"/>
      <c r="BJ64" s="155"/>
      <c r="BO64" s="19"/>
      <c r="BP64" s="18"/>
      <c r="BS64" s="3"/>
      <c r="BT64" s="3"/>
      <c r="BU64" s="3"/>
      <c r="BV64" s="3"/>
      <c r="BW64" s="3"/>
      <c r="BX64" s="3"/>
      <c r="BY64" s="3"/>
    </row>
    <row r="65" spans="1:77" s="12" customFormat="1" ht="15" customHeight="1" x14ac:dyDescent="0.3">
      <c r="A65" s="156"/>
      <c r="B65" s="156" t="s">
        <v>41</v>
      </c>
      <c r="C65" s="152"/>
      <c r="D65" s="152"/>
      <c r="E65" s="152"/>
      <c r="F65" s="152"/>
      <c r="G65" s="152"/>
      <c r="H65" s="156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J65" s="156" t="s">
        <v>41</v>
      </c>
      <c r="AK65" s="152"/>
      <c r="AL65" s="152"/>
      <c r="AM65" s="152"/>
      <c r="AN65" s="152"/>
      <c r="AO65" s="152"/>
      <c r="AP65" s="156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O65" s="19"/>
      <c r="BP65" s="18"/>
      <c r="BS65" s="3"/>
      <c r="BT65" s="3"/>
      <c r="BU65" s="3"/>
      <c r="BV65" s="3"/>
      <c r="BW65" s="3"/>
      <c r="BX65" s="3"/>
      <c r="BY65" s="3"/>
    </row>
    <row r="66" spans="1:77" s="12" customFormat="1" ht="15" customHeight="1" x14ac:dyDescent="0.3">
      <c r="A66" s="152"/>
      <c r="B66" s="152" t="s">
        <v>42</v>
      </c>
      <c r="C66" s="152"/>
      <c r="D66" s="152"/>
      <c r="E66" s="152"/>
      <c r="F66" s="152"/>
      <c r="G66" s="152"/>
      <c r="H66" s="152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J66" s="152" t="s">
        <v>42</v>
      </c>
      <c r="AK66" s="152"/>
      <c r="AL66" s="152"/>
      <c r="AM66" s="152"/>
      <c r="AN66" s="152"/>
      <c r="AO66" s="152"/>
      <c r="AP66" s="152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O66" s="19"/>
      <c r="BP66" s="18"/>
      <c r="BS66" s="3"/>
      <c r="BT66" s="3"/>
      <c r="BU66" s="3"/>
      <c r="BV66" s="3"/>
      <c r="BW66" s="3"/>
      <c r="BX66" s="3"/>
      <c r="BY66" s="3"/>
    </row>
    <row r="67" spans="1:77" s="12" customFormat="1" ht="15" customHeight="1" x14ac:dyDescent="0.2">
      <c r="A67" s="3"/>
      <c r="B67" s="3"/>
      <c r="D67" s="3"/>
      <c r="F67" s="3"/>
      <c r="R67" s="158"/>
      <c r="S67" s="158"/>
      <c r="T67" s="158"/>
      <c r="U67" s="158"/>
      <c r="V67" s="158"/>
      <c r="W67" s="158"/>
      <c r="X67" s="158"/>
      <c r="Y67" s="158"/>
      <c r="Z67" s="158"/>
      <c r="AC67" s="3"/>
      <c r="AF67" s="14"/>
      <c r="AK67" s="13"/>
      <c r="AM67" s="14"/>
      <c r="AN67" s="14"/>
      <c r="AO67" s="15"/>
      <c r="AP67" s="15"/>
      <c r="AQ67" s="17"/>
      <c r="AR67" s="17"/>
      <c r="AS67" s="17"/>
      <c r="AT67" s="17"/>
      <c r="AU67" s="17"/>
      <c r="AV67" s="17"/>
      <c r="AW67" s="17"/>
      <c r="AX67" s="17"/>
      <c r="AY67" s="17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3"/>
      <c r="BL67" s="18"/>
      <c r="BM67" s="18"/>
      <c r="BO67" s="19"/>
      <c r="BP67" s="18"/>
      <c r="BS67" s="3"/>
      <c r="BT67" s="3"/>
      <c r="BU67" s="3"/>
      <c r="BV67" s="3"/>
      <c r="BW67" s="3"/>
      <c r="BX67" s="3"/>
      <c r="BY67" s="3"/>
    </row>
    <row r="68" spans="1:77" s="12" customFormat="1" ht="15" customHeight="1" x14ac:dyDescent="0.2">
      <c r="A68" s="3"/>
      <c r="B68" s="3"/>
      <c r="D68" s="3"/>
      <c r="F68" s="3"/>
      <c r="R68" s="158"/>
      <c r="S68" s="158"/>
      <c r="T68" s="158"/>
      <c r="U68" s="158"/>
      <c r="V68" s="158"/>
      <c r="W68" s="158"/>
      <c r="X68" s="158"/>
      <c r="Y68" s="158"/>
      <c r="Z68" s="158"/>
      <c r="AC68" s="3"/>
      <c r="AF68" s="14"/>
      <c r="AJ68" s="13"/>
      <c r="AM68" s="14"/>
      <c r="AN68" s="14"/>
      <c r="AO68" s="15"/>
      <c r="AP68" s="15"/>
      <c r="AQ68" s="17"/>
      <c r="AR68" s="17"/>
      <c r="AS68" s="17"/>
      <c r="AT68" s="17"/>
      <c r="AU68" s="17"/>
      <c r="AV68" s="17"/>
      <c r="AW68" s="17"/>
      <c r="AX68" s="17"/>
      <c r="AY68" s="17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3"/>
      <c r="BL68" s="18"/>
      <c r="BM68" s="18"/>
      <c r="BO68" s="19"/>
      <c r="BP68" s="18"/>
      <c r="BS68" s="3"/>
      <c r="BT68" s="3"/>
      <c r="BU68" s="3"/>
      <c r="BV68" s="3"/>
      <c r="BW68" s="3"/>
      <c r="BX68" s="3"/>
      <c r="BY68" s="3"/>
    </row>
    <row r="69" spans="1:77" s="12" customFormat="1" ht="15" customHeight="1" x14ac:dyDescent="0.2">
      <c r="A69" s="3"/>
      <c r="B69" s="3"/>
      <c r="D69" s="3"/>
      <c r="F69" s="3"/>
      <c r="AC69" s="3"/>
      <c r="AF69" s="14"/>
      <c r="AJ69" s="13"/>
      <c r="AM69" s="14"/>
      <c r="AN69" s="14"/>
      <c r="AO69" s="15"/>
      <c r="AP69" s="15"/>
      <c r="AQ69" s="17"/>
      <c r="AR69" s="17"/>
      <c r="AS69" s="17"/>
      <c r="AT69" s="17"/>
      <c r="AU69" s="17"/>
      <c r="AV69" s="17"/>
      <c r="AW69" s="17"/>
      <c r="AX69" s="17"/>
      <c r="AY69" s="17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3"/>
      <c r="BL69" s="18"/>
      <c r="BM69" s="18"/>
      <c r="BO69" s="19"/>
      <c r="BP69" s="18"/>
      <c r="BS69" s="3"/>
      <c r="BT69" s="3"/>
      <c r="BU69" s="3"/>
      <c r="BV69" s="3"/>
      <c r="BW69" s="3"/>
      <c r="BX69" s="3"/>
      <c r="BY69" s="3"/>
    </row>
    <row r="70" spans="1:77" s="12" customFormat="1" ht="15" customHeight="1" x14ac:dyDescent="0.2">
      <c r="A70" s="3"/>
      <c r="B70" s="3"/>
      <c r="D70" s="3"/>
      <c r="F70" s="3"/>
      <c r="AC70" s="3"/>
      <c r="AF70" s="14"/>
      <c r="AJ70" s="13"/>
      <c r="AM70" s="14"/>
      <c r="AN70" s="14"/>
      <c r="AO70" s="15"/>
      <c r="AP70" s="15"/>
      <c r="AQ70" s="17"/>
      <c r="AR70" s="17"/>
      <c r="AS70" s="17"/>
      <c r="AT70" s="17"/>
      <c r="AU70" s="17"/>
      <c r="AV70" s="17"/>
      <c r="AW70" s="17"/>
      <c r="AX70" s="17"/>
      <c r="AY70" s="17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3"/>
      <c r="BL70" s="18"/>
      <c r="BM70" s="18"/>
      <c r="BO70" s="19"/>
      <c r="BP70" s="18"/>
      <c r="BS70" s="3"/>
      <c r="BT70" s="3"/>
      <c r="BU70" s="3"/>
      <c r="BV70" s="3"/>
      <c r="BW70" s="3"/>
      <c r="BX70" s="3"/>
      <c r="BY70" s="3"/>
    </row>
    <row r="71" spans="1:77" s="12" customFormat="1" ht="15" customHeight="1" x14ac:dyDescent="0.2">
      <c r="A71" s="3"/>
      <c r="B71" s="3"/>
      <c r="D71" s="3"/>
      <c r="F71" s="3"/>
      <c r="AC71" s="3"/>
      <c r="AF71" s="14"/>
      <c r="AJ71" s="13"/>
      <c r="AM71" s="14"/>
      <c r="AN71" s="14"/>
      <c r="AO71" s="15"/>
      <c r="AP71" s="15"/>
      <c r="AQ71" s="17"/>
      <c r="AR71" s="17"/>
      <c r="AS71" s="17"/>
      <c r="AT71" s="17"/>
      <c r="AU71" s="17"/>
      <c r="AV71" s="17"/>
      <c r="AW71" s="17"/>
      <c r="AX71" s="17"/>
      <c r="AY71" s="17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3"/>
      <c r="BL71" s="18"/>
      <c r="BM71" s="18"/>
      <c r="BO71" s="19"/>
      <c r="BP71" s="18"/>
      <c r="BS71" s="3"/>
      <c r="BT71" s="3"/>
      <c r="BU71" s="3"/>
      <c r="BV71" s="3"/>
      <c r="BW71" s="3"/>
      <c r="BX71" s="3"/>
      <c r="BY71" s="3"/>
    </row>
    <row r="72" spans="1:77" s="12" customFormat="1" ht="15" customHeight="1" x14ac:dyDescent="0.2">
      <c r="A72" s="3"/>
      <c r="B72" s="3"/>
      <c r="D72" s="3"/>
      <c r="F72" s="3"/>
      <c r="AC72" s="3"/>
      <c r="AF72" s="14"/>
      <c r="AJ72" s="13"/>
      <c r="AM72" s="14"/>
      <c r="AN72" s="14"/>
      <c r="AO72" s="15"/>
      <c r="AP72" s="15"/>
      <c r="AQ72" s="17"/>
      <c r="AR72" s="17"/>
      <c r="AS72" s="17"/>
      <c r="AT72" s="17"/>
      <c r="AU72" s="17"/>
      <c r="AV72" s="17"/>
      <c r="AW72" s="17"/>
      <c r="AX72" s="17"/>
      <c r="AY72" s="17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3"/>
      <c r="BL72" s="18"/>
      <c r="BM72" s="18"/>
      <c r="BO72" s="19"/>
      <c r="BP72" s="18"/>
      <c r="BS72" s="3"/>
      <c r="BT72" s="3"/>
      <c r="BU72" s="3"/>
      <c r="BV72" s="3"/>
      <c r="BW72" s="3"/>
      <c r="BX72" s="3"/>
      <c r="BY72" s="3"/>
    </row>
    <row r="73" spans="1:77" s="12" customFormat="1" ht="15" customHeight="1" x14ac:dyDescent="0.2">
      <c r="A73" s="3"/>
      <c r="B73" s="3"/>
      <c r="D73" s="3"/>
      <c r="F73" s="3"/>
      <c r="AC73" s="3"/>
      <c r="AF73" s="14"/>
      <c r="AJ73" s="13"/>
      <c r="AM73" s="14"/>
      <c r="AN73" s="14"/>
      <c r="AO73" s="15"/>
      <c r="AP73" s="15"/>
      <c r="AQ73" s="17"/>
      <c r="AR73" s="17"/>
      <c r="AS73" s="17"/>
      <c r="AT73" s="17"/>
      <c r="AU73" s="17"/>
      <c r="AV73" s="17"/>
      <c r="AW73" s="17"/>
      <c r="AX73" s="17"/>
      <c r="AY73" s="17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3"/>
      <c r="BL73" s="18"/>
      <c r="BM73" s="18"/>
      <c r="BO73" s="19"/>
      <c r="BP73" s="18"/>
      <c r="BS73" s="3"/>
      <c r="BT73" s="3"/>
      <c r="BU73" s="3"/>
      <c r="BV73" s="3"/>
      <c r="BW73" s="3"/>
      <c r="BX73" s="3"/>
      <c r="BY73" s="3"/>
    </row>
    <row r="74" spans="1:77" s="12" customFormat="1" ht="15" customHeight="1" x14ac:dyDescent="0.2">
      <c r="A74" s="3"/>
      <c r="B74" s="3"/>
      <c r="D74" s="3"/>
      <c r="F74" s="3"/>
      <c r="AC74" s="3"/>
      <c r="AF74" s="14"/>
      <c r="AJ74" s="13"/>
      <c r="AM74" s="14"/>
      <c r="AN74" s="14"/>
      <c r="AO74" s="15"/>
      <c r="AP74" s="15"/>
      <c r="AQ74" s="17"/>
      <c r="AR74" s="17"/>
      <c r="AS74" s="17"/>
      <c r="AT74" s="17"/>
      <c r="AU74" s="17"/>
      <c r="AV74" s="17"/>
      <c r="AW74" s="17"/>
      <c r="AX74" s="17"/>
      <c r="AY74" s="17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3"/>
      <c r="BL74" s="18"/>
      <c r="BM74" s="18"/>
      <c r="BO74" s="19"/>
      <c r="BP74" s="18"/>
      <c r="BS74" s="3"/>
      <c r="BT74" s="3"/>
      <c r="BU74" s="3"/>
      <c r="BV74" s="3"/>
      <c r="BW74" s="3"/>
      <c r="BX74" s="3"/>
      <c r="BY74" s="3"/>
    </row>
    <row r="75" spans="1:77" s="12" customFormat="1" ht="14.25" customHeight="1" x14ac:dyDescent="0.2">
      <c r="A75" s="3"/>
      <c r="B75" s="3"/>
      <c r="D75" s="3"/>
      <c r="F75" s="3"/>
      <c r="AC75" s="3"/>
      <c r="AF75" s="14"/>
      <c r="AJ75" s="13"/>
      <c r="AM75" s="14"/>
      <c r="AN75" s="14"/>
      <c r="AO75" s="15"/>
      <c r="AP75" s="15"/>
      <c r="AQ75" s="17"/>
      <c r="AR75" s="17"/>
      <c r="AS75" s="17"/>
      <c r="AT75" s="17"/>
      <c r="AU75" s="17"/>
      <c r="AV75" s="17"/>
      <c r="AW75" s="17"/>
      <c r="AX75" s="17"/>
      <c r="AY75" s="17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3"/>
      <c r="BL75" s="18"/>
      <c r="BM75" s="18"/>
      <c r="BO75" s="19"/>
      <c r="BP75" s="18"/>
      <c r="BS75" s="3"/>
      <c r="BT75" s="3"/>
      <c r="BU75" s="3"/>
      <c r="BV75" s="3"/>
      <c r="BW75" s="3"/>
      <c r="BX75" s="3"/>
      <c r="BY75" s="3"/>
    </row>
    <row r="76" spans="1:77" s="12" customFormat="1" ht="15" customHeight="1" x14ac:dyDescent="0.2">
      <c r="A76" s="3"/>
      <c r="B76" s="3"/>
      <c r="D76" s="3"/>
      <c r="F76" s="3"/>
      <c r="AC76" s="3"/>
      <c r="AF76" s="14"/>
      <c r="AJ76" s="13"/>
      <c r="AM76" s="14"/>
      <c r="AN76" s="14"/>
      <c r="AO76" s="15"/>
      <c r="AP76" s="15"/>
      <c r="AQ76" s="17"/>
      <c r="AR76" s="17"/>
      <c r="AS76" s="17"/>
      <c r="AT76" s="17"/>
      <c r="AU76" s="17"/>
      <c r="AV76" s="17"/>
      <c r="AW76" s="17"/>
      <c r="AX76" s="17"/>
      <c r="AY76" s="17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3"/>
      <c r="BL76" s="18"/>
      <c r="BM76" s="18"/>
      <c r="BO76" s="19"/>
      <c r="BP76" s="18"/>
      <c r="BS76" s="3"/>
      <c r="BT76" s="3"/>
      <c r="BU76" s="3"/>
      <c r="BV76" s="3"/>
      <c r="BW76" s="3"/>
      <c r="BX76" s="3"/>
      <c r="BY76" s="3"/>
    </row>
    <row r="77" spans="1:77" s="12" customFormat="1" ht="15" customHeight="1" x14ac:dyDescent="0.2">
      <c r="A77" s="3"/>
      <c r="B77" s="3"/>
      <c r="D77" s="3"/>
      <c r="F77" s="3"/>
      <c r="AC77" s="3"/>
      <c r="AF77" s="14"/>
      <c r="AJ77" s="13"/>
      <c r="AM77" s="14"/>
      <c r="AN77" s="14"/>
      <c r="AO77" s="15"/>
      <c r="AP77" s="15"/>
      <c r="AQ77" s="17"/>
      <c r="AR77" s="17"/>
      <c r="AS77" s="17"/>
      <c r="AT77" s="17"/>
      <c r="AU77" s="17"/>
      <c r="AV77" s="17"/>
      <c r="AW77" s="17"/>
      <c r="AX77" s="17"/>
      <c r="AY77" s="17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3"/>
      <c r="BL77" s="18"/>
      <c r="BM77" s="18"/>
      <c r="BO77" s="19"/>
      <c r="BP77" s="18"/>
      <c r="BS77" s="3"/>
      <c r="BT77" s="3"/>
      <c r="BU77" s="3"/>
      <c r="BV77" s="3"/>
      <c r="BW77" s="3"/>
      <c r="BX77" s="3"/>
      <c r="BY77" s="3"/>
    </row>
    <row r="78" spans="1:77" s="12" customFormat="1" ht="15" customHeight="1" x14ac:dyDescent="0.2">
      <c r="A78" s="3"/>
      <c r="B78" s="3"/>
      <c r="D78" s="3"/>
      <c r="F78" s="3"/>
      <c r="AC78" s="3"/>
      <c r="AF78" s="14"/>
      <c r="AJ78" s="13"/>
      <c r="AM78" s="14"/>
      <c r="AN78" s="14"/>
      <c r="AO78" s="15"/>
      <c r="AP78" s="15"/>
      <c r="AQ78" s="17"/>
      <c r="AR78" s="17"/>
      <c r="AS78" s="17"/>
      <c r="AT78" s="17"/>
      <c r="AU78" s="17"/>
      <c r="AV78" s="17"/>
      <c r="AW78" s="17"/>
      <c r="AX78" s="17"/>
      <c r="AY78" s="17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3"/>
      <c r="BL78" s="18"/>
      <c r="BM78" s="18"/>
      <c r="BO78" s="19"/>
      <c r="BP78" s="18"/>
      <c r="BS78" s="3"/>
      <c r="BT78" s="3"/>
      <c r="BU78" s="3"/>
      <c r="BV78" s="3"/>
      <c r="BW78" s="3"/>
      <c r="BX78" s="3"/>
      <c r="BY78" s="3"/>
    </row>
    <row r="79" spans="1:77" ht="15" customHeight="1" x14ac:dyDescent="0.2"/>
    <row r="80" spans="1:7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spans="71:72" ht="15" customHeight="1" x14ac:dyDescent="0.2"/>
    <row r="98" spans="71:72" ht="15" customHeight="1" x14ac:dyDescent="0.2"/>
    <row r="99" spans="71:72" ht="15" customHeight="1" x14ac:dyDescent="0.2"/>
    <row r="100" spans="71:72" ht="15" customHeight="1" x14ac:dyDescent="0.2"/>
    <row r="101" spans="71:72" ht="15" customHeight="1" x14ac:dyDescent="0.2"/>
    <row r="102" spans="71:72" ht="15" customHeight="1" x14ac:dyDescent="0.2">
      <c r="BS102" s="20"/>
      <c r="BT102" s="20"/>
    </row>
    <row r="103" spans="71:72" ht="15" customHeight="1" x14ac:dyDescent="0.2">
      <c r="BS103" s="34"/>
      <c r="BT103" s="34"/>
    </row>
    <row r="104" spans="71:72" ht="15" customHeight="1" x14ac:dyDescent="0.2">
      <c r="BS104" s="110">
        <v>61.2</v>
      </c>
      <c r="BT104" s="110">
        <v>4.3799999999999697</v>
      </c>
    </row>
    <row r="105" spans="71:72" ht="15" customHeight="1" x14ac:dyDescent="0.2">
      <c r="BS105" s="110">
        <v>61.3</v>
      </c>
      <c r="BT105" s="110">
        <v>4.3699999999999699</v>
      </c>
    </row>
    <row r="106" spans="71:72" ht="15" customHeight="1" x14ac:dyDescent="0.2">
      <c r="BS106" s="110">
        <v>61.4</v>
      </c>
      <c r="BT106" s="110">
        <v>4.3599999999999701</v>
      </c>
    </row>
    <row r="107" spans="71:72" x14ac:dyDescent="0.2">
      <c r="BS107" s="110">
        <v>61.5</v>
      </c>
      <c r="BT107" s="110">
        <v>4.3499999999999703</v>
      </c>
    </row>
    <row r="108" spans="71:72" x14ac:dyDescent="0.2">
      <c r="BS108" s="110">
        <v>61.6</v>
      </c>
      <c r="BT108" s="110">
        <v>4.3399999999999697</v>
      </c>
    </row>
    <row r="109" spans="71:72" x14ac:dyDescent="0.2">
      <c r="BS109" s="110">
        <v>61.7</v>
      </c>
      <c r="BT109" s="110">
        <v>4.3299999999999699</v>
      </c>
    </row>
    <row r="110" spans="71:72" x14ac:dyDescent="0.2">
      <c r="BS110" s="110">
        <v>61.8</v>
      </c>
      <c r="BT110" s="110">
        <v>4.3199999999999701</v>
      </c>
    </row>
    <row r="111" spans="71:72" x14ac:dyDescent="0.2">
      <c r="BS111" s="110">
        <v>61.9</v>
      </c>
      <c r="BT111" s="110">
        <v>4.3099999999999703</v>
      </c>
    </row>
    <row r="112" spans="71:72" x14ac:dyDescent="0.2">
      <c r="BS112" s="110">
        <v>62</v>
      </c>
      <c r="BT112" s="110">
        <v>4.2999999999999696</v>
      </c>
    </row>
    <row r="113" spans="71:72" x14ac:dyDescent="0.2">
      <c r="BS113" s="110">
        <v>62.1</v>
      </c>
      <c r="BT113" s="110">
        <v>4.2899999999999698</v>
      </c>
    </row>
    <row r="114" spans="71:72" x14ac:dyDescent="0.2">
      <c r="BS114" s="110">
        <v>62.199999999999903</v>
      </c>
      <c r="BT114" s="110">
        <v>4.2799999999999701</v>
      </c>
    </row>
    <row r="115" spans="71:72" x14ac:dyDescent="0.2">
      <c r="BS115" s="110">
        <v>62.299999999999898</v>
      </c>
      <c r="BT115" s="110">
        <v>4.2699999999999703</v>
      </c>
    </row>
    <row r="116" spans="71:72" x14ac:dyDescent="0.2">
      <c r="BS116" s="110">
        <v>62.399999999999899</v>
      </c>
      <c r="BT116" s="110">
        <v>4.2599999999999696</v>
      </c>
    </row>
    <row r="117" spans="71:72" x14ac:dyDescent="0.2">
      <c r="BS117" s="110">
        <v>62.499999999999901</v>
      </c>
      <c r="BT117" s="110">
        <v>4.2499999999999698</v>
      </c>
    </row>
    <row r="118" spans="71:72" x14ac:dyDescent="0.2">
      <c r="BS118" s="110">
        <v>62.599999999999902</v>
      </c>
      <c r="BT118" s="110">
        <v>4.23999999999997</v>
      </c>
    </row>
    <row r="119" spans="71:72" x14ac:dyDescent="0.2">
      <c r="BS119" s="110">
        <v>62.699999999999903</v>
      </c>
      <c r="BT119" s="110">
        <v>4.2299999999999702</v>
      </c>
    </row>
    <row r="120" spans="71:72" x14ac:dyDescent="0.2">
      <c r="BS120" s="110">
        <v>62.799999999999898</v>
      </c>
      <c r="BT120" s="110">
        <v>4.2199999999999704</v>
      </c>
    </row>
    <row r="121" spans="71:72" x14ac:dyDescent="0.2">
      <c r="BS121" s="110">
        <v>62.899999999999899</v>
      </c>
      <c r="BT121" s="110">
        <v>4.2099999999999698</v>
      </c>
    </row>
    <row r="122" spans="71:72" x14ac:dyDescent="0.2">
      <c r="BS122" s="110">
        <v>62.999999999999901</v>
      </c>
      <c r="BT122" s="110">
        <v>4.19999999999997</v>
      </c>
    </row>
    <row r="123" spans="71:72" x14ac:dyDescent="0.2">
      <c r="BS123" s="110">
        <v>63.099999999999902</v>
      </c>
      <c r="BT123" s="110">
        <v>4.1899999999999702</v>
      </c>
    </row>
    <row r="124" spans="71:72" x14ac:dyDescent="0.2">
      <c r="BS124" s="110">
        <v>63.199999999999903</v>
      </c>
      <c r="BT124" s="110">
        <v>4.1799999999999704</v>
      </c>
    </row>
    <row r="125" spans="71:72" x14ac:dyDescent="0.2">
      <c r="BS125" s="110">
        <v>63.299999999999898</v>
      </c>
      <c r="BT125" s="110">
        <v>4.1699999999999697</v>
      </c>
    </row>
    <row r="126" spans="71:72" x14ac:dyDescent="0.2">
      <c r="BS126" s="110">
        <v>63.399999999999899</v>
      </c>
      <c r="BT126" s="110">
        <v>4.1599999999999699</v>
      </c>
    </row>
    <row r="127" spans="71:72" x14ac:dyDescent="0.2">
      <c r="BS127" s="110">
        <v>63.499999999999901</v>
      </c>
      <c r="BT127" s="110">
        <v>4.1499999999999702</v>
      </c>
    </row>
    <row r="128" spans="71:72" x14ac:dyDescent="0.2">
      <c r="BS128" s="110">
        <v>63.599999999999902</v>
      </c>
      <c r="BT128" s="110">
        <v>4.1399999999999704</v>
      </c>
    </row>
    <row r="129" spans="71:72" x14ac:dyDescent="0.2">
      <c r="BS129" s="110">
        <v>63.699999999999903</v>
      </c>
      <c r="BT129" s="110">
        <v>4.1299999999999804</v>
      </c>
    </row>
    <row r="130" spans="71:72" x14ac:dyDescent="0.2">
      <c r="BS130" s="110">
        <v>63.799999999999898</v>
      </c>
      <c r="BT130" s="110">
        <v>4.1199999999999797</v>
      </c>
    </row>
    <row r="131" spans="71:72" x14ac:dyDescent="0.2">
      <c r="BS131" s="110">
        <v>63.8999999999998</v>
      </c>
      <c r="BT131" s="110">
        <v>4.1099999999999799</v>
      </c>
    </row>
    <row r="132" spans="71:72" x14ac:dyDescent="0.2">
      <c r="BS132" s="110">
        <v>63.999999999999801</v>
      </c>
      <c r="BT132" s="110">
        <v>4.0999999999999801</v>
      </c>
    </row>
    <row r="133" spans="71:72" x14ac:dyDescent="0.2">
      <c r="BS133" s="110">
        <v>64.099999999999795</v>
      </c>
      <c r="BT133" s="110">
        <v>4.0899999999999803</v>
      </c>
    </row>
    <row r="134" spans="71:72" x14ac:dyDescent="0.2">
      <c r="BS134" s="110">
        <v>64.199999999999804</v>
      </c>
      <c r="BT134" s="110">
        <v>4.0799999999999796</v>
      </c>
    </row>
    <row r="135" spans="71:72" x14ac:dyDescent="0.2">
      <c r="BS135" s="110">
        <v>64.299999999999798</v>
      </c>
      <c r="BT135" s="110">
        <v>4.0699999999999799</v>
      </c>
    </row>
    <row r="136" spans="71:72" x14ac:dyDescent="0.2">
      <c r="BS136" s="110">
        <v>64.399999999999807</v>
      </c>
      <c r="BT136" s="110">
        <v>4.0599999999999801</v>
      </c>
    </row>
    <row r="137" spans="71:72" x14ac:dyDescent="0.2">
      <c r="BS137" s="110">
        <v>64.499999999999801</v>
      </c>
      <c r="BT137" s="110">
        <v>4.0499999999999803</v>
      </c>
    </row>
    <row r="138" spans="71:72" x14ac:dyDescent="0.2">
      <c r="BS138" s="110">
        <v>64.599999999999795</v>
      </c>
      <c r="BT138" s="110">
        <v>4.0399999999999796</v>
      </c>
    </row>
    <row r="139" spans="71:72" x14ac:dyDescent="0.2">
      <c r="BS139" s="110">
        <v>64.699999999999804</v>
      </c>
      <c r="BT139" s="110">
        <v>4.0299999999999798</v>
      </c>
    </row>
    <row r="140" spans="71:72" x14ac:dyDescent="0.2">
      <c r="BS140" s="110">
        <v>64.799999999999798</v>
      </c>
      <c r="BT140" s="110">
        <v>4.01999999999998</v>
      </c>
    </row>
    <row r="141" spans="71:72" x14ac:dyDescent="0.2">
      <c r="BS141" s="110">
        <v>64.899999999999807</v>
      </c>
      <c r="BT141" s="110">
        <v>4.0099999999999802</v>
      </c>
    </row>
    <row r="142" spans="71:72" x14ac:dyDescent="0.2">
      <c r="BS142" s="110">
        <v>64.999999999999801</v>
      </c>
      <c r="BT142" s="110">
        <v>3.99999999999998</v>
      </c>
    </row>
    <row r="143" spans="71:72" x14ac:dyDescent="0.2">
      <c r="BS143" s="110">
        <v>65.099999999999795</v>
      </c>
      <c r="BT143" s="110">
        <v>3.9899999999999798</v>
      </c>
    </row>
    <row r="144" spans="71:72" x14ac:dyDescent="0.2">
      <c r="BS144" s="110">
        <v>65.199999999999804</v>
      </c>
      <c r="BT144" s="110">
        <v>3.97999999999998</v>
      </c>
    </row>
    <row r="145" spans="71:72" x14ac:dyDescent="0.2">
      <c r="BS145" s="110">
        <v>65.299999999999798</v>
      </c>
      <c r="BT145" s="110">
        <v>3.9699999999999802</v>
      </c>
    </row>
    <row r="146" spans="71:72" x14ac:dyDescent="0.2">
      <c r="BS146" s="110">
        <v>65.399999999999807</v>
      </c>
      <c r="BT146" s="110">
        <v>3.95999999999998</v>
      </c>
    </row>
    <row r="147" spans="71:72" x14ac:dyDescent="0.2">
      <c r="BS147" s="110">
        <v>65.499999999999801</v>
      </c>
      <c r="BT147" s="110">
        <v>3.9499999999999802</v>
      </c>
    </row>
    <row r="148" spans="71:72" x14ac:dyDescent="0.2">
      <c r="BS148" s="110">
        <v>65.599999999999795</v>
      </c>
      <c r="BT148" s="110">
        <v>3.93999999999998</v>
      </c>
    </row>
    <row r="149" spans="71:72" x14ac:dyDescent="0.2">
      <c r="BS149" s="110">
        <v>65.699999999999704</v>
      </c>
      <c r="BT149" s="110">
        <v>3.9299999999999802</v>
      </c>
    </row>
    <row r="150" spans="71:72" x14ac:dyDescent="0.2">
      <c r="BS150" s="110">
        <v>65.799999999999699</v>
      </c>
      <c r="BT150" s="110">
        <v>3.9199999999999799</v>
      </c>
    </row>
    <row r="151" spans="71:72" x14ac:dyDescent="0.2">
      <c r="BS151" s="110">
        <v>65.899999999999693</v>
      </c>
      <c r="BT151" s="110">
        <v>3.9099999999999802</v>
      </c>
    </row>
    <row r="152" spans="71:72" x14ac:dyDescent="0.2">
      <c r="BS152" s="110">
        <v>65.999999999999702</v>
      </c>
      <c r="BT152" s="110">
        <v>3.8999999999999799</v>
      </c>
    </row>
    <row r="153" spans="71:72" x14ac:dyDescent="0.2">
      <c r="BS153" s="110">
        <v>66.099999999999696</v>
      </c>
      <c r="BT153" s="110">
        <v>3.8899999999999801</v>
      </c>
    </row>
    <row r="154" spans="71:72" x14ac:dyDescent="0.2">
      <c r="BS154" s="110">
        <v>66.199999999999704</v>
      </c>
      <c r="BT154" s="110">
        <v>3.8799999999999799</v>
      </c>
    </row>
    <row r="155" spans="71:72" x14ac:dyDescent="0.2">
      <c r="BS155" s="110">
        <v>66.299999999999699</v>
      </c>
      <c r="BT155" s="110">
        <v>3.8699999999999801</v>
      </c>
    </row>
    <row r="156" spans="71:72" x14ac:dyDescent="0.2">
      <c r="BS156" s="110">
        <v>66.399999999999693</v>
      </c>
      <c r="BT156" s="110">
        <v>3.8599999999999799</v>
      </c>
    </row>
    <row r="157" spans="71:72" x14ac:dyDescent="0.2">
      <c r="BS157" s="110">
        <v>66.499999999999702</v>
      </c>
      <c r="BT157" s="110">
        <v>3.8499999999999801</v>
      </c>
    </row>
    <row r="158" spans="71:72" x14ac:dyDescent="0.2">
      <c r="BS158" s="110">
        <v>66.599999999999696</v>
      </c>
      <c r="BT158" s="110">
        <v>3.8399999999999799</v>
      </c>
    </row>
    <row r="159" spans="71:72" x14ac:dyDescent="0.2">
      <c r="BS159" s="110">
        <v>66.699999999999704</v>
      </c>
      <c r="BT159" s="110">
        <v>3.8299999999999801</v>
      </c>
    </row>
    <row r="160" spans="71:72" x14ac:dyDescent="0.2">
      <c r="BS160" s="110">
        <v>66.799999999999699</v>
      </c>
      <c r="BT160" s="110">
        <v>3.8199999999999799</v>
      </c>
    </row>
    <row r="161" spans="71:72" x14ac:dyDescent="0.2">
      <c r="BS161" s="110">
        <v>66.899999999999693</v>
      </c>
      <c r="BT161" s="110">
        <v>3.8099999999999801</v>
      </c>
    </row>
    <row r="162" spans="71:72" x14ac:dyDescent="0.2">
      <c r="BS162" s="110">
        <v>66.999999999999702</v>
      </c>
      <c r="BT162" s="110">
        <v>3.7999999999999798</v>
      </c>
    </row>
    <row r="163" spans="71:72" x14ac:dyDescent="0.2">
      <c r="BS163" s="110">
        <v>67.099999999999696</v>
      </c>
      <c r="BT163" s="110">
        <v>3.7899999999999801</v>
      </c>
    </row>
    <row r="164" spans="71:72" x14ac:dyDescent="0.2">
      <c r="BS164" s="110">
        <v>67.199999999999704</v>
      </c>
      <c r="BT164" s="110">
        <v>3.7799999999999798</v>
      </c>
    </row>
    <row r="165" spans="71:72" x14ac:dyDescent="0.2">
      <c r="BS165" s="110">
        <v>67.299999999999699</v>
      </c>
      <c r="BT165" s="110">
        <v>3.76999999999998</v>
      </c>
    </row>
    <row r="166" spans="71:72" x14ac:dyDescent="0.2">
      <c r="BS166" s="110">
        <v>67.399999999999693</v>
      </c>
      <c r="BT166" s="110">
        <v>3.7599999999999798</v>
      </c>
    </row>
    <row r="167" spans="71:72" x14ac:dyDescent="0.2">
      <c r="BS167" s="110">
        <v>67.499999999999602</v>
      </c>
      <c r="BT167" s="110">
        <v>3.74999999999998</v>
      </c>
    </row>
    <row r="168" spans="71:72" x14ac:dyDescent="0.2">
      <c r="BS168" s="110">
        <v>67.599999999999596</v>
      </c>
      <c r="BT168" s="110">
        <v>3.7399999999999798</v>
      </c>
    </row>
    <row r="169" spans="71:72" x14ac:dyDescent="0.2">
      <c r="BS169" s="110">
        <v>67.699999999999605</v>
      </c>
      <c r="BT169" s="110">
        <v>3.72999999999998</v>
      </c>
    </row>
    <row r="170" spans="71:72" x14ac:dyDescent="0.2">
      <c r="BS170" s="110">
        <v>67.799999999999599</v>
      </c>
      <c r="BT170" s="110">
        <v>3.7199999999999802</v>
      </c>
    </row>
    <row r="171" spans="71:72" x14ac:dyDescent="0.2">
      <c r="BS171" s="110">
        <v>67.899999999999594</v>
      </c>
      <c r="BT171" s="110">
        <v>3.70999999999998</v>
      </c>
    </row>
    <row r="172" spans="71:72" x14ac:dyDescent="0.2">
      <c r="BS172" s="110">
        <v>67.999999999999602</v>
      </c>
      <c r="BT172" s="110">
        <v>3.6999999999999802</v>
      </c>
    </row>
    <row r="173" spans="71:72" x14ac:dyDescent="0.2">
      <c r="BS173" s="110">
        <v>68.099999999999596</v>
      </c>
      <c r="BT173" s="110">
        <v>3.68999999999998</v>
      </c>
    </row>
    <row r="174" spans="71:72" x14ac:dyDescent="0.2">
      <c r="BS174" s="110">
        <v>68.199999999999605</v>
      </c>
      <c r="BT174" s="110">
        <v>3.6799999999999802</v>
      </c>
    </row>
    <row r="175" spans="71:72" x14ac:dyDescent="0.2">
      <c r="BS175" s="110">
        <v>68.299999999999599</v>
      </c>
      <c r="BT175" s="110">
        <v>3.6699999999999799</v>
      </c>
    </row>
    <row r="176" spans="71:72" x14ac:dyDescent="0.2">
      <c r="BS176" s="110">
        <v>68.399999999999594</v>
      </c>
      <c r="BT176" s="110">
        <v>3.6599999999999802</v>
      </c>
    </row>
    <row r="177" spans="71:72" x14ac:dyDescent="0.2">
      <c r="BS177" s="110">
        <v>68.499999999999602</v>
      </c>
      <c r="BT177" s="110">
        <v>3.6499999999999901</v>
      </c>
    </row>
    <row r="178" spans="71:72" x14ac:dyDescent="0.2">
      <c r="BS178" s="110">
        <v>68.599999999999596</v>
      </c>
      <c r="BT178" s="110">
        <v>3.6399999999999899</v>
      </c>
    </row>
    <row r="179" spans="71:72" x14ac:dyDescent="0.2">
      <c r="BS179" s="110">
        <v>68.699999999999605</v>
      </c>
      <c r="BT179" s="110">
        <v>3.6299999999999901</v>
      </c>
    </row>
    <row r="180" spans="71:72" x14ac:dyDescent="0.2">
      <c r="BS180" s="110">
        <v>68.799999999999599</v>
      </c>
      <c r="BT180" s="110">
        <v>3.6199999999999899</v>
      </c>
    </row>
    <row r="181" spans="71:72" x14ac:dyDescent="0.2">
      <c r="BS181" s="110">
        <v>68.899999999999594</v>
      </c>
      <c r="BT181" s="110">
        <v>3.6099999999999901</v>
      </c>
    </row>
    <row r="182" spans="71:72" x14ac:dyDescent="0.2">
      <c r="BS182" s="110">
        <v>68.999999999999602</v>
      </c>
      <c r="BT182" s="110">
        <v>3.5999999999999899</v>
      </c>
    </row>
    <row r="183" spans="71:72" x14ac:dyDescent="0.2">
      <c r="BS183" s="110">
        <v>69.099999999999596</v>
      </c>
      <c r="BT183" s="110">
        <v>3.5899999999999901</v>
      </c>
    </row>
    <row r="184" spans="71:72" x14ac:dyDescent="0.2">
      <c r="BS184" s="110">
        <v>69.199999999999505</v>
      </c>
      <c r="BT184" s="110">
        <v>3.5799999999999899</v>
      </c>
    </row>
    <row r="185" spans="71:72" x14ac:dyDescent="0.2">
      <c r="BS185" s="110">
        <v>69.2999999999995</v>
      </c>
      <c r="BT185" s="110">
        <v>3.5699999999999901</v>
      </c>
    </row>
    <row r="186" spans="71:72" x14ac:dyDescent="0.2">
      <c r="BS186" s="110">
        <v>69.399999999999494</v>
      </c>
      <c r="BT186" s="110">
        <v>3.5599999999999898</v>
      </c>
    </row>
    <row r="187" spans="71:72" x14ac:dyDescent="0.2">
      <c r="BS187" s="110">
        <v>69.499999999999503</v>
      </c>
      <c r="BT187" s="110">
        <v>3.5499999999999901</v>
      </c>
    </row>
    <row r="188" spans="71:72" x14ac:dyDescent="0.2">
      <c r="BS188" s="110">
        <v>69.599999999999497</v>
      </c>
      <c r="BT188" s="110">
        <v>3.5399999999999898</v>
      </c>
    </row>
    <row r="189" spans="71:72" x14ac:dyDescent="0.2">
      <c r="BS189" s="110">
        <v>69.699999999999505</v>
      </c>
      <c r="BT189" s="110">
        <v>3.52999999999999</v>
      </c>
    </row>
    <row r="190" spans="71:72" x14ac:dyDescent="0.2">
      <c r="BS190" s="110">
        <v>69.7999999999995</v>
      </c>
      <c r="BT190" s="110">
        <v>3.5199999999999898</v>
      </c>
    </row>
    <row r="191" spans="71:72" x14ac:dyDescent="0.2">
      <c r="BS191" s="110">
        <v>69.899999999999494</v>
      </c>
      <c r="BT191" s="110">
        <v>3.50999999999999</v>
      </c>
    </row>
    <row r="192" spans="71:72" x14ac:dyDescent="0.2">
      <c r="BS192" s="110">
        <v>69.999999999999503</v>
      </c>
      <c r="BT192" s="110">
        <v>3.4999999999999898</v>
      </c>
    </row>
    <row r="193" spans="71:72" x14ac:dyDescent="0.2">
      <c r="BS193" s="110">
        <v>70.099999999999497</v>
      </c>
      <c r="BT193" s="110">
        <v>3.48999999999999</v>
      </c>
    </row>
    <row r="194" spans="71:72" x14ac:dyDescent="0.2">
      <c r="BS194" s="110">
        <v>70.199999999999505</v>
      </c>
      <c r="BT194" s="110">
        <v>3.4799999999999902</v>
      </c>
    </row>
    <row r="195" spans="71:72" x14ac:dyDescent="0.2">
      <c r="BS195" s="110">
        <v>70.2999999999995</v>
      </c>
      <c r="BT195" s="110">
        <v>3.46999999999999</v>
      </c>
    </row>
    <row r="196" spans="71:72" x14ac:dyDescent="0.2">
      <c r="BS196" s="110">
        <v>70.399999999999494</v>
      </c>
      <c r="BT196" s="110">
        <v>3.4599999999999902</v>
      </c>
    </row>
    <row r="197" spans="71:72" x14ac:dyDescent="0.2">
      <c r="BS197" s="110">
        <v>70.499999999999503</v>
      </c>
      <c r="BT197" s="110">
        <v>3.44999999999999</v>
      </c>
    </row>
    <row r="198" spans="71:72" x14ac:dyDescent="0.2">
      <c r="BS198" s="110">
        <v>70.599999999999497</v>
      </c>
      <c r="BT198" s="110">
        <v>3.4399999999999902</v>
      </c>
    </row>
    <row r="199" spans="71:72" x14ac:dyDescent="0.2">
      <c r="BS199" s="110">
        <v>70.699999999999505</v>
      </c>
      <c r="BT199" s="110">
        <v>3.4299999999999899</v>
      </c>
    </row>
    <row r="200" spans="71:72" x14ac:dyDescent="0.2">
      <c r="BS200" s="110">
        <v>70.7999999999995</v>
      </c>
      <c r="BT200" s="110">
        <v>3.4199999999999902</v>
      </c>
    </row>
    <row r="201" spans="71:72" x14ac:dyDescent="0.2">
      <c r="BS201" s="110">
        <v>70.899999999999494</v>
      </c>
      <c r="BT201" s="110">
        <v>3.4099999999999899</v>
      </c>
    </row>
    <row r="202" spans="71:72" x14ac:dyDescent="0.2">
      <c r="BS202" s="110">
        <v>70.999999999999403</v>
      </c>
      <c r="BT202" s="110">
        <v>3.3999999999999901</v>
      </c>
    </row>
    <row r="203" spans="71:72" x14ac:dyDescent="0.2">
      <c r="BS203" s="110">
        <v>71.099999999999397</v>
      </c>
      <c r="BT203" s="110">
        <v>3.3899999999999899</v>
      </c>
    </row>
    <row r="204" spans="71:72" x14ac:dyDescent="0.2">
      <c r="BS204" s="110">
        <v>71.199999999999406</v>
      </c>
      <c r="BT204" s="110">
        <v>3.3799999999999901</v>
      </c>
    </row>
    <row r="205" spans="71:72" x14ac:dyDescent="0.2">
      <c r="BS205" s="110">
        <v>71.2999999999994</v>
      </c>
      <c r="BT205" s="110">
        <v>3.3699999999999899</v>
      </c>
    </row>
    <row r="206" spans="71:72" x14ac:dyDescent="0.2">
      <c r="BS206" s="110">
        <v>71.399999999999395</v>
      </c>
      <c r="BT206" s="110">
        <v>3.3599999999999901</v>
      </c>
    </row>
    <row r="207" spans="71:72" x14ac:dyDescent="0.2">
      <c r="BS207" s="110">
        <v>71.499999999999403</v>
      </c>
      <c r="BT207" s="110">
        <v>3.3499999999999899</v>
      </c>
    </row>
    <row r="208" spans="71:72" x14ac:dyDescent="0.2">
      <c r="BS208" s="110">
        <v>71.599999999999397</v>
      </c>
      <c r="BT208" s="110">
        <v>3.3399999999999901</v>
      </c>
    </row>
    <row r="209" spans="71:72" x14ac:dyDescent="0.2">
      <c r="BS209" s="110">
        <v>71.699999999999406</v>
      </c>
      <c r="BT209" s="110">
        <v>3.3299999999999899</v>
      </c>
    </row>
    <row r="210" spans="71:72" x14ac:dyDescent="0.2">
      <c r="BS210" s="110">
        <v>71.7999999999994</v>
      </c>
      <c r="BT210" s="110">
        <v>3.3199999999999901</v>
      </c>
    </row>
    <row r="211" spans="71:72" x14ac:dyDescent="0.2">
      <c r="BS211" s="110">
        <v>71.899999999999395</v>
      </c>
      <c r="BT211" s="110">
        <v>3.3099999999999898</v>
      </c>
    </row>
    <row r="212" spans="71:72" x14ac:dyDescent="0.2">
      <c r="BS212" s="110">
        <v>71.999999999999403</v>
      </c>
      <c r="BT212" s="110">
        <v>3.2999999999999901</v>
      </c>
    </row>
    <row r="213" spans="71:72" x14ac:dyDescent="0.2">
      <c r="BS213" s="110">
        <v>72.099999999999397</v>
      </c>
      <c r="BT213" s="110">
        <v>3.2899999999999898</v>
      </c>
    </row>
    <row r="214" spans="71:72" x14ac:dyDescent="0.2">
      <c r="BS214" s="110">
        <v>72.199999999999406</v>
      </c>
      <c r="BT214" s="110">
        <v>3.27999999999999</v>
      </c>
    </row>
    <row r="215" spans="71:72" x14ac:dyDescent="0.2">
      <c r="BS215" s="110">
        <v>72.2999999999994</v>
      </c>
      <c r="BT215" s="110">
        <v>3.2699999999999898</v>
      </c>
    </row>
    <row r="216" spans="71:72" x14ac:dyDescent="0.2">
      <c r="BS216" s="110">
        <v>72.399999999999395</v>
      </c>
      <c r="BT216" s="110">
        <v>3.25999999999999</v>
      </c>
    </row>
    <row r="217" spans="71:72" x14ac:dyDescent="0.2">
      <c r="BS217" s="110">
        <v>72.499999999999403</v>
      </c>
      <c r="BT217" s="110">
        <v>3.2499999999999898</v>
      </c>
    </row>
    <row r="218" spans="71:72" x14ac:dyDescent="0.2">
      <c r="BS218" s="110">
        <v>72.599999999999397</v>
      </c>
      <c r="BT218" s="110">
        <v>3.23999999999999</v>
      </c>
    </row>
    <row r="219" spans="71:72" x14ac:dyDescent="0.2">
      <c r="BS219" s="110">
        <v>72.699999999999307</v>
      </c>
      <c r="BT219" s="110">
        <v>3.2299999999999902</v>
      </c>
    </row>
    <row r="220" spans="71:72" x14ac:dyDescent="0.2">
      <c r="BS220" s="110">
        <v>72.799999999999301</v>
      </c>
      <c r="BT220" s="110">
        <v>3.21999999999999</v>
      </c>
    </row>
    <row r="221" spans="71:72" x14ac:dyDescent="0.2">
      <c r="BS221" s="110">
        <v>72.899999999999295</v>
      </c>
      <c r="BT221" s="110">
        <v>3.2099999999999902</v>
      </c>
    </row>
    <row r="222" spans="71:72" x14ac:dyDescent="0.2">
      <c r="BS222" s="110">
        <v>72.999999999999304</v>
      </c>
      <c r="BT222" s="110">
        <v>3.2</v>
      </c>
    </row>
    <row r="223" spans="71:72" x14ac:dyDescent="0.2">
      <c r="BS223" s="110">
        <v>73.099999999999298</v>
      </c>
      <c r="BT223" s="110">
        <v>3.19</v>
      </c>
    </row>
    <row r="224" spans="71:72" x14ac:dyDescent="0.2">
      <c r="BS224" s="110">
        <v>73.199999999999307</v>
      </c>
      <c r="BT224" s="110">
        <v>3.18</v>
      </c>
    </row>
    <row r="225" spans="71:72" x14ac:dyDescent="0.2">
      <c r="BS225" s="110">
        <v>73.299999999999301</v>
      </c>
      <c r="BT225" s="110">
        <v>3.17</v>
      </c>
    </row>
    <row r="226" spans="71:72" x14ac:dyDescent="0.2">
      <c r="BS226" s="110">
        <v>73.399999999999295</v>
      </c>
      <c r="BT226" s="110">
        <v>3.16</v>
      </c>
    </row>
    <row r="227" spans="71:72" x14ac:dyDescent="0.2">
      <c r="BS227" s="110">
        <v>73.499999999999304</v>
      </c>
      <c r="BT227" s="110">
        <v>3.15</v>
      </c>
    </row>
    <row r="228" spans="71:72" x14ac:dyDescent="0.2">
      <c r="BS228" s="110">
        <v>73.599999999999298</v>
      </c>
      <c r="BT228" s="110">
        <v>3.14</v>
      </c>
    </row>
    <row r="229" spans="71:72" x14ac:dyDescent="0.2">
      <c r="BS229" s="110">
        <v>73.699999999999307</v>
      </c>
      <c r="BT229" s="110">
        <v>3.13</v>
      </c>
    </row>
    <row r="230" spans="71:72" x14ac:dyDescent="0.2">
      <c r="BS230" s="110">
        <v>73.799999999999301</v>
      </c>
      <c r="BT230" s="110">
        <v>3.12</v>
      </c>
    </row>
    <row r="231" spans="71:72" x14ac:dyDescent="0.2">
      <c r="BS231" s="110">
        <v>73.899999999999295</v>
      </c>
      <c r="BT231" s="110">
        <v>3.11</v>
      </c>
    </row>
    <row r="232" spans="71:72" x14ac:dyDescent="0.2">
      <c r="BS232" s="110">
        <v>73.999999999999304</v>
      </c>
      <c r="BT232" s="110">
        <v>3.1</v>
      </c>
    </row>
    <row r="233" spans="71:72" x14ac:dyDescent="0.2">
      <c r="BS233" s="110">
        <v>74.099999999999298</v>
      </c>
      <c r="BT233" s="110">
        <v>3.09</v>
      </c>
    </row>
    <row r="234" spans="71:72" x14ac:dyDescent="0.2">
      <c r="BS234" s="110">
        <v>74.199999999999307</v>
      </c>
      <c r="BT234" s="110">
        <v>3.08</v>
      </c>
    </row>
    <row r="235" spans="71:72" x14ac:dyDescent="0.2">
      <c r="BS235" s="110">
        <v>74.299999999999301</v>
      </c>
      <c r="BT235" s="110">
        <v>3.07</v>
      </c>
    </row>
    <row r="236" spans="71:72" x14ac:dyDescent="0.2">
      <c r="BS236" s="110">
        <v>74.399999999999196</v>
      </c>
      <c r="BT236" s="110">
        <v>3.06</v>
      </c>
    </row>
    <row r="237" spans="71:72" x14ac:dyDescent="0.2">
      <c r="BS237" s="110">
        <v>74.499999999999204</v>
      </c>
      <c r="BT237" s="110">
        <v>3.05</v>
      </c>
    </row>
    <row r="238" spans="71:72" x14ac:dyDescent="0.2">
      <c r="BS238" s="110">
        <v>74.599999999999199</v>
      </c>
      <c r="BT238" s="110">
        <v>3.04</v>
      </c>
    </row>
    <row r="239" spans="71:72" x14ac:dyDescent="0.2">
      <c r="BS239" s="110">
        <v>74.699999999999207</v>
      </c>
      <c r="BT239" s="110">
        <v>3.03</v>
      </c>
    </row>
    <row r="240" spans="71:72" x14ac:dyDescent="0.2">
      <c r="BS240" s="110">
        <v>74.799999999999201</v>
      </c>
      <c r="BT240" s="110">
        <v>3.02</v>
      </c>
    </row>
    <row r="241" spans="71:72" x14ac:dyDescent="0.2">
      <c r="BS241" s="110">
        <v>74.899999999999196</v>
      </c>
      <c r="BT241" s="110">
        <v>3.01</v>
      </c>
    </row>
    <row r="242" spans="71:72" x14ac:dyDescent="0.2">
      <c r="BS242" s="110">
        <v>74.999999999999204</v>
      </c>
      <c r="BT242" s="110">
        <v>3</v>
      </c>
    </row>
    <row r="243" spans="71:72" x14ac:dyDescent="0.2">
      <c r="BS243" s="110">
        <v>75.099999999999199</v>
      </c>
      <c r="BT243" s="110">
        <v>2.99</v>
      </c>
    </row>
    <row r="244" spans="71:72" x14ac:dyDescent="0.2">
      <c r="BS244" s="110">
        <v>75.199999999999207</v>
      </c>
      <c r="BT244" s="110">
        <v>2.98</v>
      </c>
    </row>
    <row r="245" spans="71:72" x14ac:dyDescent="0.2">
      <c r="BS245" s="110">
        <v>75.299999999999201</v>
      </c>
      <c r="BT245" s="110">
        <v>2.97</v>
      </c>
    </row>
    <row r="246" spans="71:72" x14ac:dyDescent="0.2">
      <c r="BS246" s="110">
        <v>75.399999999999196</v>
      </c>
      <c r="BT246" s="110">
        <v>2.96</v>
      </c>
    </row>
    <row r="247" spans="71:72" x14ac:dyDescent="0.2">
      <c r="BS247" s="110">
        <v>75.499999999999204</v>
      </c>
      <c r="BT247" s="110">
        <v>2.95</v>
      </c>
    </row>
    <row r="248" spans="71:72" x14ac:dyDescent="0.2">
      <c r="BS248" s="110">
        <v>75.599999999999199</v>
      </c>
      <c r="BT248" s="110">
        <v>2.94</v>
      </c>
    </row>
    <row r="249" spans="71:72" x14ac:dyDescent="0.2">
      <c r="BS249" s="110">
        <v>75.699999999999207</v>
      </c>
      <c r="BT249" s="110">
        <v>2.93</v>
      </c>
    </row>
    <row r="250" spans="71:72" x14ac:dyDescent="0.2">
      <c r="BS250" s="110">
        <v>75.799999999999201</v>
      </c>
      <c r="BT250" s="110">
        <v>2.92</v>
      </c>
    </row>
    <row r="251" spans="71:72" x14ac:dyDescent="0.2">
      <c r="BS251" s="110">
        <v>75.899999999999196</v>
      </c>
      <c r="BT251" s="110">
        <v>2.91</v>
      </c>
    </row>
    <row r="252" spans="71:72" x14ac:dyDescent="0.2">
      <c r="BS252" s="110">
        <v>75.999999999999204</v>
      </c>
      <c r="BT252" s="110">
        <v>2.9</v>
      </c>
    </row>
    <row r="253" spans="71:72" x14ac:dyDescent="0.2">
      <c r="BS253" s="110">
        <v>76.099999999999199</v>
      </c>
      <c r="BT253" s="110">
        <v>2.89</v>
      </c>
    </row>
    <row r="254" spans="71:72" x14ac:dyDescent="0.2">
      <c r="BS254" s="110">
        <v>76.199999999999093</v>
      </c>
      <c r="BT254" s="110">
        <v>2.88</v>
      </c>
    </row>
    <row r="255" spans="71:72" x14ac:dyDescent="0.2">
      <c r="BS255" s="110">
        <v>76.299999999999102</v>
      </c>
      <c r="BT255" s="110">
        <v>2.87</v>
      </c>
    </row>
    <row r="256" spans="71:72" x14ac:dyDescent="0.2">
      <c r="BS256" s="110">
        <v>76.399999999999096</v>
      </c>
      <c r="BT256" s="110">
        <v>2.86</v>
      </c>
    </row>
    <row r="257" spans="71:72" x14ac:dyDescent="0.2">
      <c r="BS257" s="110">
        <v>76.499999999999105</v>
      </c>
      <c r="BT257" s="110">
        <v>2.85</v>
      </c>
    </row>
    <row r="258" spans="71:72" x14ac:dyDescent="0.2">
      <c r="BS258" s="110">
        <v>76.599999999999099</v>
      </c>
      <c r="BT258" s="110">
        <v>2.84</v>
      </c>
    </row>
    <row r="259" spans="71:72" x14ac:dyDescent="0.2">
      <c r="BS259" s="110">
        <v>76.699999999999093</v>
      </c>
      <c r="BT259" s="110">
        <v>2.83</v>
      </c>
    </row>
    <row r="260" spans="71:72" x14ac:dyDescent="0.2">
      <c r="BS260" s="110">
        <v>76.799999999999102</v>
      </c>
      <c r="BT260" s="110">
        <v>2.82</v>
      </c>
    </row>
    <row r="261" spans="71:72" x14ac:dyDescent="0.2">
      <c r="BS261" s="110">
        <v>76.899999999999096</v>
      </c>
      <c r="BT261" s="110">
        <v>2.81</v>
      </c>
    </row>
    <row r="262" spans="71:72" x14ac:dyDescent="0.2">
      <c r="BS262" s="110">
        <v>76.999999999999105</v>
      </c>
      <c r="BT262" s="110">
        <v>2.8</v>
      </c>
    </row>
    <row r="263" spans="71:72" x14ac:dyDescent="0.2">
      <c r="BS263" s="110">
        <v>77.099999999999099</v>
      </c>
      <c r="BT263" s="110">
        <v>2.79</v>
      </c>
    </row>
    <row r="264" spans="71:72" x14ac:dyDescent="0.2">
      <c r="BS264" s="110">
        <v>77.199999999999093</v>
      </c>
      <c r="BT264" s="110">
        <v>2.78</v>
      </c>
    </row>
    <row r="265" spans="71:72" x14ac:dyDescent="0.2">
      <c r="BS265" s="110">
        <v>77.299999999999102</v>
      </c>
      <c r="BT265" s="110">
        <v>2.77</v>
      </c>
    </row>
    <row r="266" spans="71:72" x14ac:dyDescent="0.2">
      <c r="BS266" s="110">
        <v>77.399999999999096</v>
      </c>
      <c r="BT266" s="110">
        <v>2.76</v>
      </c>
    </row>
    <row r="267" spans="71:72" x14ac:dyDescent="0.2">
      <c r="BS267" s="110">
        <v>77.499999999999105</v>
      </c>
      <c r="BT267" s="110">
        <v>2.75</v>
      </c>
    </row>
    <row r="268" spans="71:72" x14ac:dyDescent="0.2">
      <c r="BS268" s="110">
        <v>77.599999999999099</v>
      </c>
      <c r="BT268" s="110">
        <v>2.74</v>
      </c>
    </row>
    <row r="269" spans="71:72" x14ac:dyDescent="0.2">
      <c r="BS269" s="110">
        <v>77.699999999999093</v>
      </c>
      <c r="BT269" s="110">
        <v>2.7300000000000102</v>
      </c>
    </row>
    <row r="270" spans="71:72" x14ac:dyDescent="0.2">
      <c r="BS270" s="110">
        <v>77.799999999999102</v>
      </c>
      <c r="BT270" s="110">
        <v>2.72000000000001</v>
      </c>
    </row>
    <row r="271" spans="71:72" x14ac:dyDescent="0.2">
      <c r="BS271" s="110">
        <v>77.899999999999096</v>
      </c>
      <c r="BT271" s="110">
        <v>2.7100000000000102</v>
      </c>
    </row>
    <row r="272" spans="71:72" x14ac:dyDescent="0.2">
      <c r="BS272" s="110">
        <v>77.999999999999005</v>
      </c>
      <c r="BT272" s="110">
        <v>2.7000000000000099</v>
      </c>
    </row>
    <row r="273" spans="71:72" x14ac:dyDescent="0.2">
      <c r="BS273" s="110">
        <v>78.099999999999</v>
      </c>
      <c r="BT273" s="110">
        <v>2.6900000000000102</v>
      </c>
    </row>
    <row r="274" spans="71:72" x14ac:dyDescent="0.2">
      <c r="BS274" s="110">
        <v>78.199999999998994</v>
      </c>
      <c r="BT274" s="110">
        <v>2.6800000000000099</v>
      </c>
    </row>
    <row r="275" spans="71:72" x14ac:dyDescent="0.2">
      <c r="BS275" s="110">
        <v>78.299999999999002</v>
      </c>
      <c r="BT275" s="110">
        <v>2.6700000000000101</v>
      </c>
    </row>
    <row r="276" spans="71:72" x14ac:dyDescent="0.2">
      <c r="BS276" s="110">
        <v>78.399999999998997</v>
      </c>
      <c r="BT276" s="110">
        <v>2.6600000000000099</v>
      </c>
    </row>
    <row r="277" spans="71:72" x14ac:dyDescent="0.2">
      <c r="BS277" s="110">
        <v>78.499999999999005</v>
      </c>
      <c r="BT277" s="110">
        <v>2.6500000000000101</v>
      </c>
    </row>
    <row r="278" spans="71:72" x14ac:dyDescent="0.2">
      <c r="BS278" s="110">
        <v>78.599999999999</v>
      </c>
      <c r="BT278" s="110">
        <v>2.6400000000000099</v>
      </c>
    </row>
    <row r="279" spans="71:72" x14ac:dyDescent="0.2">
      <c r="BS279" s="110">
        <v>78.699999999998994</v>
      </c>
      <c r="BT279" s="110">
        <v>2.6300000000000101</v>
      </c>
    </row>
    <row r="280" spans="71:72" x14ac:dyDescent="0.2">
      <c r="BS280" s="110">
        <v>78.799999999999002</v>
      </c>
      <c r="BT280" s="110">
        <v>2.6200000000000099</v>
      </c>
    </row>
    <row r="281" spans="71:72" x14ac:dyDescent="0.2">
      <c r="BS281" s="110">
        <v>78.899999999998997</v>
      </c>
      <c r="BT281" s="110">
        <v>2.6100000000000101</v>
      </c>
    </row>
    <row r="282" spans="71:72" x14ac:dyDescent="0.2">
      <c r="BS282" s="110">
        <v>78.999999999999005</v>
      </c>
      <c r="BT282" s="110">
        <v>2.6000000000000099</v>
      </c>
    </row>
    <row r="283" spans="71:72" x14ac:dyDescent="0.2">
      <c r="BS283" s="110">
        <v>79.099999999999</v>
      </c>
      <c r="BT283" s="110">
        <v>2.5900000000000101</v>
      </c>
    </row>
    <row r="284" spans="71:72" x14ac:dyDescent="0.2">
      <c r="BS284" s="110">
        <v>79.199999999998994</v>
      </c>
      <c r="BT284" s="110">
        <v>2.5800000000000098</v>
      </c>
    </row>
    <row r="285" spans="71:72" x14ac:dyDescent="0.2">
      <c r="BS285" s="110">
        <v>79.299999999999002</v>
      </c>
      <c r="BT285" s="110">
        <v>2.5700000000000101</v>
      </c>
    </row>
    <row r="286" spans="71:72" x14ac:dyDescent="0.2">
      <c r="BS286" s="110">
        <v>79.399999999998997</v>
      </c>
      <c r="BT286" s="110">
        <v>2.5600000000000098</v>
      </c>
    </row>
    <row r="287" spans="71:72" x14ac:dyDescent="0.2">
      <c r="BS287" s="110">
        <v>79.499999999999005</v>
      </c>
      <c r="BT287" s="110">
        <v>2.55000000000001</v>
      </c>
    </row>
    <row r="288" spans="71:72" x14ac:dyDescent="0.2">
      <c r="BS288" s="110">
        <v>79.599999999999</v>
      </c>
      <c r="BT288" s="110">
        <v>2.5400000000000098</v>
      </c>
    </row>
    <row r="289" spans="71:72" x14ac:dyDescent="0.2">
      <c r="BS289" s="110">
        <v>79.699999999998894</v>
      </c>
      <c r="BT289" s="110">
        <v>2.53000000000001</v>
      </c>
    </row>
    <row r="290" spans="71:72" x14ac:dyDescent="0.2">
      <c r="BS290" s="110">
        <v>79.799999999998903</v>
      </c>
      <c r="BT290" s="110">
        <v>2.5200000000000098</v>
      </c>
    </row>
    <row r="291" spans="71:72" x14ac:dyDescent="0.2">
      <c r="BS291" s="110">
        <v>79.899999999998897</v>
      </c>
      <c r="BT291" s="110">
        <v>2.51000000000001</v>
      </c>
    </row>
    <row r="292" spans="71:72" x14ac:dyDescent="0.2">
      <c r="BS292" s="110">
        <v>79.999999999998906</v>
      </c>
      <c r="BT292" s="110">
        <v>2.5000000000000102</v>
      </c>
    </row>
    <row r="293" spans="71:72" x14ac:dyDescent="0.2">
      <c r="BS293" s="110">
        <v>80.0999999999989</v>
      </c>
      <c r="BT293" s="110">
        <v>2.49000000000001</v>
      </c>
    </row>
    <row r="294" spans="71:72" x14ac:dyDescent="0.2">
      <c r="BS294" s="110">
        <v>80.199999999998894</v>
      </c>
      <c r="BT294" s="110">
        <v>2.4800000000000102</v>
      </c>
    </row>
    <row r="295" spans="71:72" x14ac:dyDescent="0.2">
      <c r="BS295" s="110">
        <v>80.299999999998903</v>
      </c>
      <c r="BT295" s="110">
        <v>2.47000000000001</v>
      </c>
    </row>
    <row r="296" spans="71:72" x14ac:dyDescent="0.2">
      <c r="BS296" s="110">
        <v>80.399999999998897</v>
      </c>
      <c r="BT296" s="110">
        <v>2.4600000000000102</v>
      </c>
    </row>
    <row r="297" spans="71:72" x14ac:dyDescent="0.2">
      <c r="BS297" s="110">
        <v>80.499999999998906</v>
      </c>
      <c r="BT297" s="110">
        <v>2.4500000000000099</v>
      </c>
    </row>
    <row r="298" spans="71:72" x14ac:dyDescent="0.2">
      <c r="BS298" s="110">
        <v>80.5999999999989</v>
      </c>
      <c r="BT298" s="110">
        <v>2.4400000000000102</v>
      </c>
    </row>
    <row r="299" spans="71:72" x14ac:dyDescent="0.2">
      <c r="BS299" s="110">
        <v>80.699999999998894</v>
      </c>
      <c r="BT299" s="110">
        <v>2.4300000000000099</v>
      </c>
    </row>
    <row r="300" spans="71:72" x14ac:dyDescent="0.2">
      <c r="BS300" s="110">
        <v>80.799999999998903</v>
      </c>
      <c r="BT300" s="110">
        <v>2.4200000000000101</v>
      </c>
    </row>
    <row r="301" spans="71:72" x14ac:dyDescent="0.2">
      <c r="BS301" s="110">
        <v>80.899999999998897</v>
      </c>
      <c r="BT301" s="110">
        <v>2.4100000000000099</v>
      </c>
    </row>
    <row r="302" spans="71:72" x14ac:dyDescent="0.2">
      <c r="BS302" s="110">
        <v>80.999999999998906</v>
      </c>
      <c r="BT302" s="110">
        <v>2.4000000000000101</v>
      </c>
    </row>
    <row r="303" spans="71:72" x14ac:dyDescent="0.2">
      <c r="BS303" s="110">
        <v>81.0999999999989</v>
      </c>
      <c r="BT303" s="110">
        <v>2.3900000000000099</v>
      </c>
    </row>
    <row r="304" spans="71:72" x14ac:dyDescent="0.2">
      <c r="BS304" s="110">
        <v>81.199999999998894</v>
      </c>
      <c r="BT304" s="110">
        <v>2.3800000000000101</v>
      </c>
    </row>
    <row r="305" spans="71:72" x14ac:dyDescent="0.2">
      <c r="BS305" s="110">
        <v>81.299999999998903</v>
      </c>
      <c r="BT305" s="110">
        <v>2.3700000000000099</v>
      </c>
    </row>
    <row r="306" spans="71:72" x14ac:dyDescent="0.2">
      <c r="BS306" s="110">
        <v>81.399999999998897</v>
      </c>
      <c r="BT306" s="110">
        <v>2.3600000000000101</v>
      </c>
    </row>
    <row r="307" spans="71:72" x14ac:dyDescent="0.2">
      <c r="BS307" s="110">
        <v>81.499999999998806</v>
      </c>
      <c r="BT307" s="110">
        <v>2.3500000000000099</v>
      </c>
    </row>
    <row r="308" spans="71:72" x14ac:dyDescent="0.2">
      <c r="BS308" s="110">
        <v>81.599999999998801</v>
      </c>
      <c r="BT308" s="110">
        <v>2.3400000000000101</v>
      </c>
    </row>
    <row r="309" spans="71:72" x14ac:dyDescent="0.2">
      <c r="BS309" s="110">
        <v>81.699999999998795</v>
      </c>
      <c r="BT309" s="110">
        <v>2.3300000000000098</v>
      </c>
    </row>
    <row r="310" spans="71:72" x14ac:dyDescent="0.2">
      <c r="BS310" s="110">
        <v>81.799999999998803</v>
      </c>
      <c r="BT310" s="110">
        <v>2.3200000000000101</v>
      </c>
    </row>
    <row r="311" spans="71:72" x14ac:dyDescent="0.2">
      <c r="BS311" s="110">
        <v>81.899999999998798</v>
      </c>
      <c r="BT311" s="110">
        <v>2.3100000000000098</v>
      </c>
    </row>
    <row r="312" spans="71:72" x14ac:dyDescent="0.2">
      <c r="BS312" s="110">
        <v>81.999999999998806</v>
      </c>
      <c r="BT312" s="110">
        <v>2.30000000000001</v>
      </c>
    </row>
    <row r="313" spans="71:72" x14ac:dyDescent="0.2">
      <c r="BS313" s="110">
        <v>82.099999999998801</v>
      </c>
      <c r="BT313" s="110">
        <v>2.2900000000000098</v>
      </c>
    </row>
    <row r="314" spans="71:72" x14ac:dyDescent="0.2">
      <c r="BS314" s="110">
        <v>82.199999999998795</v>
      </c>
      <c r="BT314" s="110">
        <v>2.28000000000001</v>
      </c>
    </row>
    <row r="315" spans="71:72" x14ac:dyDescent="0.2">
      <c r="BS315" s="110">
        <v>82.299999999998803</v>
      </c>
      <c r="BT315" s="110">
        <v>2.2700000000000098</v>
      </c>
    </row>
    <row r="316" spans="71:72" x14ac:dyDescent="0.2">
      <c r="BS316" s="110">
        <v>82.399999999998798</v>
      </c>
      <c r="BT316" s="110">
        <v>2.2600000000000202</v>
      </c>
    </row>
    <row r="317" spans="71:72" x14ac:dyDescent="0.2">
      <c r="BS317" s="110">
        <v>82.499999999998806</v>
      </c>
      <c r="BT317" s="110">
        <v>2.25000000000002</v>
      </c>
    </row>
    <row r="318" spans="71:72" x14ac:dyDescent="0.2">
      <c r="BS318" s="110">
        <v>82.599999999998801</v>
      </c>
      <c r="BT318" s="110">
        <v>2.2400000000000202</v>
      </c>
    </row>
    <row r="319" spans="71:72" x14ac:dyDescent="0.2">
      <c r="BS319" s="110">
        <v>82.699999999998795</v>
      </c>
      <c r="BT319" s="110">
        <v>2.23000000000002</v>
      </c>
    </row>
    <row r="320" spans="71:72" x14ac:dyDescent="0.2">
      <c r="BS320" s="110">
        <v>82.799999999998803</v>
      </c>
      <c r="BT320" s="110">
        <v>2.2200000000000202</v>
      </c>
    </row>
    <row r="321" spans="71:72" x14ac:dyDescent="0.2">
      <c r="BS321" s="110">
        <v>82.899999999998798</v>
      </c>
      <c r="BT321" s="110">
        <v>2.2100000000000199</v>
      </c>
    </row>
    <row r="322" spans="71:72" x14ac:dyDescent="0.2">
      <c r="BS322" s="110">
        <v>82.999999999998806</v>
      </c>
      <c r="BT322" s="110">
        <v>2.2000000000000202</v>
      </c>
    </row>
    <row r="323" spans="71:72" x14ac:dyDescent="0.2">
      <c r="BS323" s="110">
        <v>83.099999999998801</v>
      </c>
      <c r="BT323" s="110">
        <v>2.1900000000000199</v>
      </c>
    </row>
    <row r="324" spans="71:72" x14ac:dyDescent="0.2">
      <c r="BS324" s="110">
        <v>83.199999999998695</v>
      </c>
      <c r="BT324" s="110">
        <v>2.1800000000000201</v>
      </c>
    </row>
    <row r="325" spans="71:72" x14ac:dyDescent="0.2">
      <c r="BS325" s="110">
        <v>83.299999999998704</v>
      </c>
      <c r="BT325" s="110">
        <v>2.1700000000000199</v>
      </c>
    </row>
    <row r="326" spans="71:72" x14ac:dyDescent="0.2">
      <c r="BS326" s="110">
        <v>83.399999999998698</v>
      </c>
      <c r="BT326" s="110">
        <v>2.1600000000000201</v>
      </c>
    </row>
    <row r="327" spans="71:72" x14ac:dyDescent="0.2">
      <c r="BS327" s="110">
        <v>83.499999999998707</v>
      </c>
      <c r="BT327" s="110">
        <v>2.1500000000000199</v>
      </c>
    </row>
    <row r="328" spans="71:72" x14ac:dyDescent="0.2">
      <c r="BS328" s="110">
        <v>83.599999999998701</v>
      </c>
      <c r="BT328" s="110">
        <v>2.1400000000000201</v>
      </c>
    </row>
    <row r="329" spans="71:72" x14ac:dyDescent="0.2">
      <c r="BS329" s="110">
        <v>83.699999999998695</v>
      </c>
      <c r="BT329" s="110">
        <v>2.1300000000000199</v>
      </c>
    </row>
    <row r="330" spans="71:72" x14ac:dyDescent="0.2">
      <c r="BS330" s="110">
        <v>83.799999999998704</v>
      </c>
      <c r="BT330" s="110">
        <v>2.1200000000000201</v>
      </c>
    </row>
    <row r="331" spans="71:72" x14ac:dyDescent="0.2">
      <c r="BS331" s="110">
        <v>83.899999999998698</v>
      </c>
      <c r="BT331" s="110">
        <v>2.1100000000000199</v>
      </c>
    </row>
    <row r="332" spans="71:72" x14ac:dyDescent="0.2">
      <c r="BS332" s="110">
        <v>83.999999999998707</v>
      </c>
      <c r="BT332" s="110">
        <v>2.1000000000000201</v>
      </c>
    </row>
    <row r="333" spans="71:72" x14ac:dyDescent="0.2">
      <c r="BS333" s="110">
        <v>84.099999999998701</v>
      </c>
      <c r="BT333" s="110">
        <v>2.0900000000000198</v>
      </c>
    </row>
    <row r="334" spans="71:72" x14ac:dyDescent="0.2">
      <c r="BS334" s="110">
        <v>84.199999999998695</v>
      </c>
      <c r="BT334" s="110">
        <v>2.0800000000000201</v>
      </c>
    </row>
    <row r="335" spans="71:72" x14ac:dyDescent="0.2">
      <c r="BS335" s="110">
        <v>84.299999999998704</v>
      </c>
      <c r="BT335" s="110">
        <v>2.0700000000000198</v>
      </c>
    </row>
    <row r="336" spans="71:72" x14ac:dyDescent="0.2">
      <c r="BS336" s="110">
        <v>84.399999999998698</v>
      </c>
      <c r="BT336" s="110">
        <v>2.06000000000002</v>
      </c>
    </row>
    <row r="337" spans="71:72" x14ac:dyDescent="0.2">
      <c r="BS337" s="110">
        <v>84.499999999998707</v>
      </c>
      <c r="BT337" s="110">
        <v>2.0500000000000198</v>
      </c>
    </row>
    <row r="338" spans="71:72" x14ac:dyDescent="0.2">
      <c r="BS338" s="110">
        <v>84.599999999998701</v>
      </c>
      <c r="BT338" s="110">
        <v>2.04000000000002</v>
      </c>
    </row>
    <row r="339" spans="71:72" x14ac:dyDescent="0.2">
      <c r="BS339" s="110">
        <v>84.699999999998695</v>
      </c>
      <c r="BT339" s="110">
        <v>2.0300000000000198</v>
      </c>
    </row>
    <row r="340" spans="71:72" x14ac:dyDescent="0.2">
      <c r="BS340" s="110">
        <v>84.799999999998704</v>
      </c>
      <c r="BT340" s="110">
        <v>2.02000000000002</v>
      </c>
    </row>
    <row r="341" spans="71:72" x14ac:dyDescent="0.2">
      <c r="BS341" s="110">
        <v>84.899999999998698</v>
      </c>
      <c r="BT341" s="110">
        <v>2.0100000000000202</v>
      </c>
    </row>
    <row r="342" spans="71:72" x14ac:dyDescent="0.2">
      <c r="BS342" s="110">
        <v>84.999999999998593</v>
      </c>
      <c r="BT342" s="110">
        <v>2.00000000000002</v>
      </c>
    </row>
    <row r="343" spans="71:72" x14ac:dyDescent="0.2">
      <c r="BS343" s="110">
        <v>85.099999999998602</v>
      </c>
      <c r="BT343" s="110">
        <v>1.99000000000002</v>
      </c>
    </row>
    <row r="344" spans="71:72" x14ac:dyDescent="0.2">
      <c r="BS344" s="110">
        <v>85.199999999998596</v>
      </c>
      <c r="BT344" s="110">
        <v>1.98000000000002</v>
      </c>
    </row>
    <row r="345" spans="71:72" x14ac:dyDescent="0.2">
      <c r="BS345" s="110">
        <v>85.299999999998604</v>
      </c>
      <c r="BT345" s="110">
        <v>1.97000000000002</v>
      </c>
    </row>
    <row r="346" spans="71:72" x14ac:dyDescent="0.2">
      <c r="BS346" s="110">
        <v>85.399999999998599</v>
      </c>
      <c r="BT346" s="110">
        <v>1.9600000000000199</v>
      </c>
    </row>
    <row r="347" spans="71:72" x14ac:dyDescent="0.2">
      <c r="BS347" s="110">
        <v>85.499999999998593</v>
      </c>
      <c r="BT347" s="110">
        <v>1.9500000000000199</v>
      </c>
    </row>
    <row r="348" spans="71:72" x14ac:dyDescent="0.2">
      <c r="BS348" s="110">
        <v>85.599999999998602</v>
      </c>
      <c r="BT348" s="110">
        <v>1.9400000000000199</v>
      </c>
    </row>
    <row r="349" spans="71:72" x14ac:dyDescent="0.2">
      <c r="BS349" s="110">
        <v>85.699999999998596</v>
      </c>
      <c r="BT349" s="110">
        <v>1.9300000000000199</v>
      </c>
    </row>
    <row r="350" spans="71:72" x14ac:dyDescent="0.2">
      <c r="BS350" s="110">
        <v>85.799999999998604</v>
      </c>
      <c r="BT350" s="110">
        <v>1.9200000000000199</v>
      </c>
    </row>
    <row r="351" spans="71:72" x14ac:dyDescent="0.2">
      <c r="BS351" s="110">
        <v>85.899999999998599</v>
      </c>
      <c r="BT351" s="110">
        <v>1.9100000000000199</v>
      </c>
    </row>
    <row r="352" spans="71:72" x14ac:dyDescent="0.2">
      <c r="BS352" s="110">
        <v>85.999999999998593</v>
      </c>
      <c r="BT352" s="110">
        <v>1.9000000000000199</v>
      </c>
    </row>
    <row r="353" spans="71:72" x14ac:dyDescent="0.2">
      <c r="BS353" s="110">
        <v>86.099999999998602</v>
      </c>
      <c r="BT353" s="110">
        <v>1.8900000000000201</v>
      </c>
    </row>
    <row r="354" spans="71:72" x14ac:dyDescent="0.2">
      <c r="BS354" s="110">
        <v>86.199999999998596</v>
      </c>
      <c r="BT354" s="110">
        <v>1.8800000000000201</v>
      </c>
    </row>
    <row r="355" spans="71:72" x14ac:dyDescent="0.2">
      <c r="BS355" s="110">
        <v>86.299999999998604</v>
      </c>
      <c r="BT355" s="110">
        <v>1.8700000000000201</v>
      </c>
    </row>
    <row r="356" spans="71:72" x14ac:dyDescent="0.2">
      <c r="BS356" s="110">
        <v>86.399999999998599</v>
      </c>
      <c r="BT356" s="110">
        <v>1.8600000000000201</v>
      </c>
    </row>
    <row r="357" spans="71:72" x14ac:dyDescent="0.2">
      <c r="BS357" s="110">
        <v>86.499999999998593</v>
      </c>
      <c r="BT357" s="110">
        <v>1.8500000000000201</v>
      </c>
    </row>
    <row r="358" spans="71:72" x14ac:dyDescent="0.2">
      <c r="BS358" s="110">
        <v>86.599999999998602</v>
      </c>
      <c r="BT358" s="110">
        <v>1.8400000000000201</v>
      </c>
    </row>
    <row r="359" spans="71:72" x14ac:dyDescent="0.2">
      <c r="BS359" s="110">
        <v>86.699999999998596</v>
      </c>
      <c r="BT359" s="110">
        <v>1.8300000000000201</v>
      </c>
    </row>
    <row r="360" spans="71:72" x14ac:dyDescent="0.2">
      <c r="BS360" s="110">
        <v>86.799999999998505</v>
      </c>
      <c r="BT360" s="110">
        <v>1.82000000000002</v>
      </c>
    </row>
    <row r="361" spans="71:72" x14ac:dyDescent="0.2">
      <c r="BS361" s="110">
        <v>86.899999999998499</v>
      </c>
      <c r="BT361" s="110">
        <v>1.81000000000002</v>
      </c>
    </row>
    <row r="362" spans="71:72" x14ac:dyDescent="0.2">
      <c r="BS362" s="110">
        <v>86.999999999998494</v>
      </c>
      <c r="BT362" s="110">
        <v>1.80000000000002</v>
      </c>
    </row>
    <row r="363" spans="71:72" x14ac:dyDescent="0.2">
      <c r="BS363" s="110">
        <v>87.099999999998502</v>
      </c>
      <c r="BT363" s="110">
        <v>1.79000000000003</v>
      </c>
    </row>
    <row r="364" spans="71:72" x14ac:dyDescent="0.2">
      <c r="BS364" s="110">
        <v>87.199999999998496</v>
      </c>
      <c r="BT364" s="110">
        <v>1.78000000000003</v>
      </c>
    </row>
    <row r="365" spans="71:72" x14ac:dyDescent="0.2">
      <c r="BS365" s="110">
        <v>87.299999999998505</v>
      </c>
      <c r="BT365" s="110">
        <v>1.77000000000003</v>
      </c>
    </row>
    <row r="366" spans="71:72" x14ac:dyDescent="0.2">
      <c r="BS366" s="110">
        <v>87.399999999998499</v>
      </c>
      <c r="BT366" s="110">
        <v>1.76000000000003</v>
      </c>
    </row>
    <row r="367" spans="71:72" x14ac:dyDescent="0.2">
      <c r="BS367" s="110">
        <v>87.499999999998494</v>
      </c>
      <c r="BT367" s="110">
        <v>1.75000000000003</v>
      </c>
    </row>
    <row r="368" spans="71:72" x14ac:dyDescent="0.2">
      <c r="BS368" s="110">
        <v>87.599999999998502</v>
      </c>
      <c r="BT368" s="110">
        <v>1.74000000000003</v>
      </c>
    </row>
    <row r="369" spans="71:72" x14ac:dyDescent="0.2">
      <c r="BS369" s="110">
        <v>87.699999999998496</v>
      </c>
      <c r="BT369" s="110">
        <v>1.73000000000003</v>
      </c>
    </row>
    <row r="370" spans="71:72" x14ac:dyDescent="0.2">
      <c r="BS370" s="110">
        <v>87.799999999998505</v>
      </c>
      <c r="BT370" s="110">
        <v>1.7200000000000299</v>
      </c>
    </row>
    <row r="371" spans="71:72" x14ac:dyDescent="0.2">
      <c r="BS371" s="110">
        <v>87.899999999998499</v>
      </c>
      <c r="BT371" s="110">
        <v>1.7100000000000299</v>
      </c>
    </row>
    <row r="372" spans="71:72" x14ac:dyDescent="0.2">
      <c r="BS372" s="110">
        <v>87.999999999998494</v>
      </c>
      <c r="BT372" s="110">
        <v>1.7000000000000299</v>
      </c>
    </row>
    <row r="373" spans="71:72" x14ac:dyDescent="0.2">
      <c r="BS373" s="110">
        <v>88.099999999998502</v>
      </c>
      <c r="BT373" s="110">
        <v>1.6900000000000299</v>
      </c>
    </row>
    <row r="374" spans="71:72" x14ac:dyDescent="0.2">
      <c r="BS374" s="110">
        <v>88.199999999998496</v>
      </c>
      <c r="BT374" s="110">
        <v>1.6800000000000299</v>
      </c>
    </row>
    <row r="375" spans="71:72" x14ac:dyDescent="0.2">
      <c r="BS375" s="110">
        <v>88.299999999998505</v>
      </c>
      <c r="BT375" s="110">
        <v>1.6700000000000299</v>
      </c>
    </row>
    <row r="376" spans="71:72" x14ac:dyDescent="0.2">
      <c r="BS376" s="110">
        <v>88.399999999998499</v>
      </c>
      <c r="BT376" s="110">
        <v>1.6600000000000299</v>
      </c>
    </row>
    <row r="377" spans="71:72" x14ac:dyDescent="0.2">
      <c r="BS377" s="110">
        <v>88.499999999998394</v>
      </c>
      <c r="BT377" s="110">
        <v>1.6500000000000301</v>
      </c>
    </row>
    <row r="378" spans="71:72" x14ac:dyDescent="0.2">
      <c r="BS378" s="110">
        <v>88.599999999998403</v>
      </c>
      <c r="BT378" s="110">
        <v>1.6400000000000301</v>
      </c>
    </row>
    <row r="379" spans="71:72" x14ac:dyDescent="0.2">
      <c r="BS379" s="110">
        <v>88.699999999998397</v>
      </c>
      <c r="BT379" s="110">
        <v>1.6300000000000301</v>
      </c>
    </row>
    <row r="380" spans="71:72" x14ac:dyDescent="0.2">
      <c r="BS380" s="110">
        <v>88.799999999998406</v>
      </c>
      <c r="BT380" s="110">
        <v>1.6200000000000301</v>
      </c>
    </row>
    <row r="381" spans="71:72" x14ac:dyDescent="0.2">
      <c r="BS381" s="110">
        <v>88.8999999999984</v>
      </c>
      <c r="BT381" s="110">
        <v>1.6100000000000301</v>
      </c>
    </row>
    <row r="382" spans="71:72" x14ac:dyDescent="0.2">
      <c r="BS382" s="110">
        <v>88.999999999998394</v>
      </c>
      <c r="BT382" s="110">
        <v>1.6000000000000301</v>
      </c>
    </row>
    <row r="383" spans="71:72" x14ac:dyDescent="0.2">
      <c r="BS383" s="110">
        <v>89.099999999998403</v>
      </c>
      <c r="BT383" s="110">
        <v>1.5900000000000301</v>
      </c>
    </row>
    <row r="384" spans="71:72" x14ac:dyDescent="0.2">
      <c r="BS384" s="110">
        <v>89.199999999998397</v>
      </c>
      <c r="BT384" s="110">
        <v>1.58000000000003</v>
      </c>
    </row>
    <row r="385" spans="71:72" x14ac:dyDescent="0.2">
      <c r="BS385" s="110">
        <v>89.299999999998406</v>
      </c>
      <c r="BT385" s="110">
        <v>1.57000000000003</v>
      </c>
    </row>
    <row r="386" spans="71:72" x14ac:dyDescent="0.2">
      <c r="BS386" s="110">
        <v>89.3999999999984</v>
      </c>
      <c r="BT386" s="110">
        <v>1.56000000000003</v>
      </c>
    </row>
    <row r="387" spans="71:72" x14ac:dyDescent="0.2">
      <c r="BS387" s="110">
        <v>89.499999999998394</v>
      </c>
      <c r="BT387" s="110">
        <v>1.55000000000003</v>
      </c>
    </row>
    <row r="388" spans="71:72" x14ac:dyDescent="0.2">
      <c r="BS388" s="110">
        <v>89.599999999998403</v>
      </c>
      <c r="BT388" s="110">
        <v>1.54000000000003</v>
      </c>
    </row>
    <row r="389" spans="71:72" x14ac:dyDescent="0.2">
      <c r="BS389" s="110">
        <v>89.699999999998397</v>
      </c>
      <c r="BT389" s="110">
        <v>1.53000000000003</v>
      </c>
    </row>
    <row r="390" spans="71:72" x14ac:dyDescent="0.2">
      <c r="BS390" s="110">
        <v>89.799999999998406</v>
      </c>
      <c r="BT390" s="110">
        <v>1.52000000000003</v>
      </c>
    </row>
    <row r="391" spans="71:72" x14ac:dyDescent="0.2">
      <c r="BS391" s="110">
        <v>89.8999999999984</v>
      </c>
      <c r="BT391" s="110">
        <v>1.51000000000003</v>
      </c>
    </row>
    <row r="392" spans="71:72" x14ac:dyDescent="0.2">
      <c r="BS392" s="110">
        <v>89.999999999998394</v>
      </c>
      <c r="BT392" s="110">
        <v>1.50000000000003</v>
      </c>
    </row>
    <row r="393" spans="71:72" x14ac:dyDescent="0.2">
      <c r="BS393" s="110">
        <v>90.099999999998403</v>
      </c>
      <c r="BT393" s="110">
        <v>1.49000000000003</v>
      </c>
    </row>
    <row r="394" spans="71:72" x14ac:dyDescent="0.2">
      <c r="BS394" s="110">
        <v>90.199999999998397</v>
      </c>
      <c r="BT394" s="110">
        <v>1.48000000000003</v>
      </c>
    </row>
    <row r="395" spans="71:72" x14ac:dyDescent="0.2">
      <c r="BS395" s="110">
        <v>90.299999999998306</v>
      </c>
      <c r="BT395" s="110">
        <v>1.4700000000000299</v>
      </c>
    </row>
    <row r="396" spans="71:72" x14ac:dyDescent="0.2">
      <c r="BS396" s="110">
        <v>90.3999999999983</v>
      </c>
      <c r="BT396" s="110">
        <v>1.4600000000000299</v>
      </c>
    </row>
    <row r="397" spans="71:72" x14ac:dyDescent="0.2">
      <c r="BS397" s="110">
        <v>90.499999999998295</v>
      </c>
      <c r="BT397" s="110">
        <v>1.4500000000000299</v>
      </c>
    </row>
    <row r="398" spans="71:72" x14ac:dyDescent="0.2">
      <c r="BS398" s="110">
        <v>90.599999999998303</v>
      </c>
      <c r="BT398" s="110">
        <v>1.4400000000000299</v>
      </c>
    </row>
    <row r="399" spans="71:72" x14ac:dyDescent="0.2">
      <c r="BS399" s="110">
        <v>90.699999999998298</v>
      </c>
      <c r="BT399" s="110">
        <v>1.4300000000000299</v>
      </c>
    </row>
    <row r="400" spans="71:72" x14ac:dyDescent="0.2">
      <c r="BS400" s="110">
        <v>90.799999999998306</v>
      </c>
      <c r="BT400" s="110">
        <v>1.4200000000000299</v>
      </c>
    </row>
    <row r="401" spans="71:72" x14ac:dyDescent="0.2">
      <c r="BS401" s="110">
        <v>90.8999999999983</v>
      </c>
      <c r="BT401" s="110">
        <v>1.4100000000000299</v>
      </c>
    </row>
    <row r="402" spans="71:72" x14ac:dyDescent="0.2">
      <c r="BS402" s="110">
        <v>90.999999999998295</v>
      </c>
      <c r="BT402" s="110">
        <v>1.4000000000000301</v>
      </c>
    </row>
    <row r="403" spans="71:72" x14ac:dyDescent="0.2">
      <c r="BS403" s="110">
        <v>91.099999999998303</v>
      </c>
      <c r="BT403" s="110">
        <v>1.3900000000000301</v>
      </c>
    </row>
    <row r="404" spans="71:72" x14ac:dyDescent="0.2">
      <c r="BS404" s="110">
        <v>91.199999999998298</v>
      </c>
      <c r="BT404" s="110">
        <v>1.3800000000000301</v>
      </c>
    </row>
    <row r="405" spans="71:72" x14ac:dyDescent="0.2">
      <c r="BS405" s="110">
        <v>91.299999999998306</v>
      </c>
      <c r="BT405" s="110">
        <v>1.3700000000000301</v>
      </c>
    </row>
    <row r="406" spans="71:72" x14ac:dyDescent="0.2">
      <c r="BS406" s="110">
        <v>91.3999999999983</v>
      </c>
      <c r="BT406" s="110">
        <v>1.3600000000000301</v>
      </c>
    </row>
    <row r="407" spans="71:72" x14ac:dyDescent="0.2">
      <c r="BS407" s="110">
        <v>91.499999999998295</v>
      </c>
      <c r="BT407" s="110">
        <v>1.3500000000000301</v>
      </c>
    </row>
    <row r="408" spans="71:72" x14ac:dyDescent="0.2">
      <c r="BS408" s="110">
        <v>91.599999999998303</v>
      </c>
      <c r="BT408" s="110">
        <v>1.3400000000000301</v>
      </c>
    </row>
    <row r="409" spans="71:72" x14ac:dyDescent="0.2">
      <c r="BS409" s="110">
        <v>91.699999999998298</v>
      </c>
      <c r="BT409" s="110">
        <v>1.33000000000004</v>
      </c>
    </row>
    <row r="410" spans="71:72" x14ac:dyDescent="0.2">
      <c r="BS410" s="110">
        <v>91.799999999998306</v>
      </c>
      <c r="BT410" s="110">
        <v>1.32000000000004</v>
      </c>
    </row>
    <row r="411" spans="71:72" x14ac:dyDescent="0.2">
      <c r="BS411" s="110">
        <v>91.8999999999983</v>
      </c>
      <c r="BT411" s="110">
        <v>1.31000000000004</v>
      </c>
    </row>
    <row r="412" spans="71:72" x14ac:dyDescent="0.2">
      <c r="BS412" s="110">
        <v>91.999999999998195</v>
      </c>
      <c r="BT412" s="110">
        <v>1.30000000000004</v>
      </c>
    </row>
    <row r="413" spans="71:72" x14ac:dyDescent="0.2">
      <c r="BS413" s="110">
        <v>92.099999999998204</v>
      </c>
      <c r="BT413" s="110">
        <v>1.29000000000004</v>
      </c>
    </row>
    <row r="414" spans="71:72" x14ac:dyDescent="0.2">
      <c r="BS414" s="110">
        <v>92.199999999998198</v>
      </c>
      <c r="BT414" s="110">
        <v>1.28000000000004</v>
      </c>
    </row>
    <row r="415" spans="71:72" x14ac:dyDescent="0.2">
      <c r="BS415" s="110">
        <v>92.299999999998207</v>
      </c>
      <c r="BT415" s="110">
        <v>1.27000000000004</v>
      </c>
    </row>
    <row r="416" spans="71:72" x14ac:dyDescent="0.2">
      <c r="BS416" s="110">
        <v>92.399999999998201</v>
      </c>
      <c r="BT416" s="110">
        <v>1.26000000000004</v>
      </c>
    </row>
    <row r="417" spans="71:72" x14ac:dyDescent="0.2">
      <c r="BS417" s="110">
        <v>92.499999999998195</v>
      </c>
      <c r="BT417" s="110">
        <v>1.25000000000004</v>
      </c>
    </row>
    <row r="418" spans="71:72" x14ac:dyDescent="0.2">
      <c r="BS418" s="110">
        <v>92.599999999998204</v>
      </c>
      <c r="BT418" s="110">
        <v>1.24000000000004</v>
      </c>
    </row>
    <row r="419" spans="71:72" x14ac:dyDescent="0.2">
      <c r="BS419" s="110">
        <v>92.699999999998198</v>
      </c>
      <c r="BT419" s="110">
        <v>1.23000000000004</v>
      </c>
    </row>
    <row r="420" spans="71:72" x14ac:dyDescent="0.2">
      <c r="BS420" s="110">
        <v>92.799999999998207</v>
      </c>
      <c r="BT420" s="110">
        <v>1.2200000000000399</v>
      </c>
    </row>
    <row r="421" spans="71:72" x14ac:dyDescent="0.2">
      <c r="BS421" s="110">
        <v>92.899999999998201</v>
      </c>
      <c r="BT421" s="110">
        <v>1.2100000000000399</v>
      </c>
    </row>
    <row r="422" spans="71:72" x14ac:dyDescent="0.2">
      <c r="BS422" s="110">
        <v>92.999999999998195</v>
      </c>
      <c r="BT422" s="110">
        <v>1.2000000000000399</v>
      </c>
    </row>
    <row r="423" spans="71:72" x14ac:dyDescent="0.2">
      <c r="BS423" s="110">
        <v>93.099999999998204</v>
      </c>
      <c r="BT423" s="110">
        <v>1.1900000000000399</v>
      </c>
    </row>
    <row r="424" spans="71:72" x14ac:dyDescent="0.2">
      <c r="BS424" s="110">
        <v>93.199999999998198</v>
      </c>
      <c r="BT424" s="110">
        <v>1.1800000000000399</v>
      </c>
    </row>
    <row r="425" spans="71:72" x14ac:dyDescent="0.2">
      <c r="BS425" s="110">
        <v>93.299999999998207</v>
      </c>
      <c r="BT425" s="110">
        <v>1.1700000000000399</v>
      </c>
    </row>
    <row r="426" spans="71:72" x14ac:dyDescent="0.2">
      <c r="BS426" s="110">
        <v>93.399999999998201</v>
      </c>
      <c r="BT426" s="110">
        <v>1.1600000000000401</v>
      </c>
    </row>
    <row r="427" spans="71:72" x14ac:dyDescent="0.2">
      <c r="BS427" s="110">
        <v>93.499999999998195</v>
      </c>
      <c r="BT427" s="110">
        <v>1.1500000000000401</v>
      </c>
    </row>
    <row r="428" spans="71:72" x14ac:dyDescent="0.2">
      <c r="BS428" s="110">
        <v>93.599999999998204</v>
      </c>
      <c r="BT428" s="110">
        <v>1.1400000000000401</v>
      </c>
    </row>
    <row r="429" spans="71:72" x14ac:dyDescent="0.2">
      <c r="BS429" s="110">
        <v>93.699999999998198</v>
      </c>
      <c r="BT429" s="110">
        <v>1.1300000000000401</v>
      </c>
    </row>
    <row r="430" spans="71:72" x14ac:dyDescent="0.2">
      <c r="BS430" s="110">
        <v>93.799999999998093</v>
      </c>
      <c r="BT430" s="110">
        <v>1.1200000000000401</v>
      </c>
    </row>
    <row r="431" spans="71:72" x14ac:dyDescent="0.2">
      <c r="BS431" s="110">
        <v>93.899999999998101</v>
      </c>
      <c r="BT431" s="110">
        <v>1.1100000000000401</v>
      </c>
    </row>
    <row r="432" spans="71:72" x14ac:dyDescent="0.2">
      <c r="BS432" s="110">
        <v>93.999999999998096</v>
      </c>
      <c r="BT432" s="110">
        <v>1.1000000000000401</v>
      </c>
    </row>
    <row r="433" spans="71:72" x14ac:dyDescent="0.2">
      <c r="BS433" s="110">
        <v>94.099999999998104</v>
      </c>
      <c r="BT433" s="110">
        <v>1.09000000000004</v>
      </c>
    </row>
    <row r="434" spans="71:72" x14ac:dyDescent="0.2">
      <c r="BS434" s="110">
        <v>94.199999999998099</v>
      </c>
      <c r="BT434" s="110">
        <v>1.08000000000004</v>
      </c>
    </row>
    <row r="435" spans="71:72" x14ac:dyDescent="0.2">
      <c r="BS435" s="110">
        <v>94.299999999998093</v>
      </c>
      <c r="BT435" s="110">
        <v>1.07000000000004</v>
      </c>
    </row>
    <row r="436" spans="71:72" x14ac:dyDescent="0.2">
      <c r="BS436" s="110">
        <v>94.399999999998101</v>
      </c>
      <c r="BT436" s="110">
        <v>1.06000000000004</v>
      </c>
    </row>
    <row r="437" spans="71:72" x14ac:dyDescent="0.2">
      <c r="BS437" s="110">
        <v>94.499999999998096</v>
      </c>
      <c r="BT437" s="110">
        <v>1.05000000000004</v>
      </c>
    </row>
    <row r="438" spans="71:72" x14ac:dyDescent="0.2">
      <c r="BS438" s="110">
        <v>94.599999999998104</v>
      </c>
      <c r="BT438" s="110">
        <v>1.04000000000004</v>
      </c>
    </row>
    <row r="439" spans="71:72" x14ac:dyDescent="0.2">
      <c r="BS439" s="110">
        <v>94.699999999998099</v>
      </c>
      <c r="BT439" s="110">
        <v>1.03000000000004</v>
      </c>
    </row>
    <row r="440" spans="71:72" x14ac:dyDescent="0.2">
      <c r="BS440" s="110">
        <v>94.799999999998093</v>
      </c>
      <c r="BT440" s="110">
        <v>1.02000000000004</v>
      </c>
    </row>
    <row r="441" spans="71:72" x14ac:dyDescent="0.2">
      <c r="BS441" s="110">
        <v>94.899999999998101</v>
      </c>
      <c r="BT441" s="110">
        <v>1.01000000000004</v>
      </c>
    </row>
    <row r="442" spans="71:72" x14ac:dyDescent="0.2">
      <c r="BS442" s="110">
        <v>94.999999999998096</v>
      </c>
      <c r="BT442" s="110">
        <v>1.00000000000004</v>
      </c>
    </row>
  </sheetData>
  <mergeCells count="89">
    <mergeCell ref="A1:AH1"/>
    <mergeCell ref="AI1:BQ1"/>
    <mergeCell ref="A2:AH2"/>
    <mergeCell ref="AI2:BQ2"/>
    <mergeCell ref="A3:AH3"/>
    <mergeCell ref="AI3:BQ3"/>
    <mergeCell ref="BT8:BW8"/>
    <mergeCell ref="A10:A14"/>
    <mergeCell ref="B10:B14"/>
    <mergeCell ref="C10:H10"/>
    <mergeCell ref="I10:R10"/>
    <mergeCell ref="S10:Z10"/>
    <mergeCell ref="AI10:AI14"/>
    <mergeCell ref="AC11:AD13"/>
    <mergeCell ref="AE11:AE14"/>
    <mergeCell ref="A5:AH5"/>
    <mergeCell ref="AI5:BQ5"/>
    <mergeCell ref="AB8:AE8"/>
    <mergeCell ref="BJ8:BM8"/>
    <mergeCell ref="AA10:AB10"/>
    <mergeCell ref="AC10:AE10"/>
    <mergeCell ref="AF10:AF14"/>
    <mergeCell ref="AG10:AG14"/>
    <mergeCell ref="AH10:AH14"/>
    <mergeCell ref="BK10:BM10"/>
    <mergeCell ref="AK11:AL11"/>
    <mergeCell ref="AM11:AN11"/>
    <mergeCell ref="AO11:AO14"/>
    <mergeCell ref="AP11:AP14"/>
    <mergeCell ref="AJ10:AJ14"/>
    <mergeCell ref="AK10:AP10"/>
    <mergeCell ref="AQ10:AZ10"/>
    <mergeCell ref="BA10:BH10"/>
    <mergeCell ref="BI10:BJ10"/>
    <mergeCell ref="C11:D11"/>
    <mergeCell ref="E11:F11"/>
    <mergeCell ref="G11:G14"/>
    <mergeCell ref="H11:H14"/>
    <mergeCell ref="I11:J11"/>
    <mergeCell ref="BN10:BN14"/>
    <mergeCell ref="BO10:BO14"/>
    <mergeCell ref="BP10:BP14"/>
    <mergeCell ref="BQ10:BQ14"/>
    <mergeCell ref="BR10:BR14"/>
    <mergeCell ref="AB11:AB14"/>
    <mergeCell ref="U12:V13"/>
    <mergeCell ref="W12:X13"/>
    <mergeCell ref="K11:L11"/>
    <mergeCell ref="M11:N11"/>
    <mergeCell ref="O11:P11"/>
    <mergeCell ref="Q11:Q14"/>
    <mergeCell ref="R11:R14"/>
    <mergeCell ref="S11:T11"/>
    <mergeCell ref="U11:V11"/>
    <mergeCell ref="W11:X11"/>
    <mergeCell ref="Y11:Y14"/>
    <mergeCell ref="Z11:Z14"/>
    <mergeCell ref="AA11:AA14"/>
    <mergeCell ref="BI11:BI14"/>
    <mergeCell ref="BA12:BB13"/>
    <mergeCell ref="BC12:BD13"/>
    <mergeCell ref="BE12:BF13"/>
    <mergeCell ref="AQ11:AR11"/>
    <mergeCell ref="AS11:AT11"/>
    <mergeCell ref="AU11:AV11"/>
    <mergeCell ref="AW11:AX11"/>
    <mergeCell ref="AY11:AY14"/>
    <mergeCell ref="AZ11:AZ14"/>
    <mergeCell ref="AW12:AX13"/>
    <mergeCell ref="BJ11:BJ14"/>
    <mergeCell ref="BK11:BL13"/>
    <mergeCell ref="BM11:BM14"/>
    <mergeCell ref="C12:D13"/>
    <mergeCell ref="E12:F13"/>
    <mergeCell ref="I12:J13"/>
    <mergeCell ref="K12:L13"/>
    <mergeCell ref="M12:N13"/>
    <mergeCell ref="O12:P13"/>
    <mergeCell ref="S12:T13"/>
    <mergeCell ref="BA11:BB11"/>
    <mergeCell ref="BC11:BD11"/>
    <mergeCell ref="BE11:BF11"/>
    <mergeCell ref="BG11:BG14"/>
    <mergeCell ref="BH11:BH14"/>
    <mergeCell ref="AK12:AL13"/>
    <mergeCell ref="AM12:AN13"/>
    <mergeCell ref="AQ12:AR13"/>
    <mergeCell ref="AS12:AT13"/>
    <mergeCell ref="AU12:AV13"/>
  </mergeCells>
  <conditionalFormatting sqref="BR15:BR59">
    <cfRule type="cellIs" dxfId="2" priority="1" operator="equal">
      <formula>"INC."</formula>
    </cfRule>
    <cfRule type="cellIs" dxfId="1" priority="2" operator="equal">
      <formula>"PASSED"</formula>
    </cfRule>
    <cfRule type="cellIs" dxfId="0" priority="3" operator="equal">
      <formula>"FAILED"</formula>
    </cfRule>
  </conditionalFormatting>
  <printOptions verticalCentered="1"/>
  <pageMargins left="0" right="0" top="0" bottom="0" header="0" footer="0"/>
  <pageSetup paperSize="256" scale="4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IT1Z-SAK101</vt:lpstr>
      <vt:lpstr>'IT1Z-SAK101'!Print_Area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mark.escalante89@outlook.com</dc:creator>
  <cp:lastModifiedBy>office11084</cp:lastModifiedBy>
  <dcterms:created xsi:type="dcterms:W3CDTF">2026-03-25T06:58:37Z</dcterms:created>
  <dcterms:modified xsi:type="dcterms:W3CDTF">2026-07-13T09:05:21Z</dcterms:modified>
</cp:coreProperties>
</file>